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eJava\htdocs\cv\sample\"/>
    </mc:Choice>
  </mc:AlternateContent>
  <xr:revisionPtr revIDLastSave="0" documentId="13_ncr:1_{22F180EC-77B4-4ECE-B7C3-F973882537F7}" xr6:coauthVersionLast="47" xr6:coauthVersionMax="47" xr10:uidLastSave="{00000000-0000-0000-0000-000000000000}"/>
  <bookViews>
    <workbookView xWindow="38290" yWindow="-1670" windowWidth="38620" windowHeight="21220" tabRatio="943" activeTab="8" xr2:uid="{00000000-000D-0000-FFFF-FFFF00000000}"/>
  </bookViews>
  <sheets>
    <sheet name="엑셀데이터" sheetId="43" r:id="rId1"/>
    <sheet name="사용자지정서식1" sheetId="78" r:id="rId2"/>
    <sheet name="특수문자입력법" sheetId="44" r:id="rId3"/>
    <sheet name="표시형식" sheetId="38" r:id="rId4"/>
    <sheet name="시나리오" sheetId="87" r:id="rId5"/>
    <sheet name="미리보기" sheetId="88" r:id="rId6"/>
    <sheet name="견적서예시" sheetId="89" r:id="rId7"/>
    <sheet name="견적서" sheetId="90" r:id="rId8"/>
    <sheet name="제품목록" sheetId="91" r:id="rId9"/>
  </sheets>
  <externalReferences>
    <externalReference r:id="rId10"/>
  </externalReferences>
  <definedNames>
    <definedName name="_xlnm._FilterDatabase" localSheetId="4" hidden="1">시나리오!$C$1:$C$65536</definedName>
    <definedName name="_xlnm.Extract" localSheetId="4">시나리오!#REF!</definedName>
    <definedName name="_xlnm.Print_Area" localSheetId="7">견적서!$B$2:$G$33</definedName>
    <definedName name="_xlnm.Print_Area" localSheetId="6">견적서예시!$B$2:$I$33</definedName>
    <definedName name="기본급표" localSheetId="5">미리보기!#REF!</definedName>
    <definedName name="사번" localSheetId="5">[1]사원명부!$A$2:$A$26</definedName>
    <definedName name="사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0" l="1"/>
  <c r="G28" i="89"/>
  <c r="H28" i="89" s="1"/>
  <c r="D28" i="89"/>
  <c r="G27" i="89"/>
  <c r="H27" i="89" s="1"/>
  <c r="D27" i="89"/>
  <c r="G26" i="89"/>
  <c r="H26" i="89" s="1"/>
  <c r="D26" i="89"/>
  <c r="G25" i="89"/>
  <c r="H25" i="89" s="1"/>
  <c r="D25" i="89"/>
  <c r="G24" i="89"/>
  <c r="H24" i="89" s="1"/>
  <c r="D24" i="89"/>
  <c r="G23" i="89"/>
  <c r="H23" i="89" s="1"/>
  <c r="D23" i="89"/>
  <c r="G22" i="89"/>
  <c r="H22" i="89" s="1"/>
  <c r="D22" i="89"/>
  <c r="G21" i="89"/>
  <c r="H21" i="89" s="1"/>
  <c r="D21" i="89"/>
  <c r="G20" i="89"/>
  <c r="H20" i="89" s="1"/>
  <c r="D20" i="89"/>
  <c r="H19" i="89"/>
  <c r="G19" i="89"/>
  <c r="D19" i="89"/>
  <c r="G18" i="89"/>
  <c r="H18" i="89" s="1"/>
  <c r="D18" i="89"/>
  <c r="G17" i="89"/>
  <c r="H17" i="89" s="1"/>
  <c r="D17" i="89"/>
  <c r="G16" i="89"/>
  <c r="H16" i="89" s="1"/>
  <c r="D16" i="89"/>
  <c r="G15" i="89"/>
  <c r="H15" i="89" s="1"/>
  <c r="D15" i="89"/>
  <c r="G14" i="89"/>
  <c r="H14" i="89" s="1"/>
  <c r="D14" i="89"/>
  <c r="G13" i="89"/>
  <c r="H13" i="89" s="1"/>
  <c r="D13" i="89"/>
  <c r="G12" i="89"/>
  <c r="H12" i="89" s="1"/>
  <c r="D12" i="89"/>
  <c r="G11" i="89"/>
  <c r="H11" i="89" s="1"/>
  <c r="D11" i="89"/>
  <c r="G10" i="89"/>
  <c r="H10" i="89" s="1"/>
  <c r="D10" i="89"/>
  <c r="G9" i="89"/>
  <c r="H9" i="89" s="1"/>
  <c r="D9" i="89"/>
  <c r="B4" i="89"/>
  <c r="C33" i="89" s="1"/>
  <c r="I112" i="88"/>
  <c r="J112" i="88" s="1"/>
  <c r="H112" i="88"/>
  <c r="D112" i="88"/>
  <c r="I111" i="88"/>
  <c r="J111" i="88" s="1"/>
  <c r="H111" i="88"/>
  <c r="D111" i="88"/>
  <c r="I110" i="88"/>
  <c r="H110" i="88"/>
  <c r="D110" i="88"/>
  <c r="I109" i="88"/>
  <c r="H109" i="88"/>
  <c r="D109" i="88"/>
  <c r="I108" i="88"/>
  <c r="H108" i="88"/>
  <c r="D108" i="88"/>
  <c r="I107" i="88"/>
  <c r="H107" i="88"/>
  <c r="D107" i="88"/>
  <c r="I106" i="88"/>
  <c r="H106" i="88"/>
  <c r="D106" i="88"/>
  <c r="I105" i="88"/>
  <c r="H105" i="88"/>
  <c r="D105" i="88"/>
  <c r="I104" i="88"/>
  <c r="H104" i="88"/>
  <c r="D104" i="88"/>
  <c r="I103" i="88"/>
  <c r="H103" i="88"/>
  <c r="D103" i="88"/>
  <c r="I102" i="88"/>
  <c r="H102" i="88"/>
  <c r="D102" i="88"/>
  <c r="I101" i="88"/>
  <c r="H101" i="88"/>
  <c r="D101" i="88"/>
  <c r="I100" i="88"/>
  <c r="H100" i="88"/>
  <c r="D100" i="88"/>
  <c r="I99" i="88"/>
  <c r="J99" i="88" s="1"/>
  <c r="H99" i="88"/>
  <c r="D99" i="88"/>
  <c r="I98" i="88"/>
  <c r="H98" i="88"/>
  <c r="D98" i="88"/>
  <c r="I97" i="88"/>
  <c r="J97" i="88" s="1"/>
  <c r="H97" i="88"/>
  <c r="D97" i="88"/>
  <c r="I96" i="88"/>
  <c r="H96" i="88"/>
  <c r="D96" i="88"/>
  <c r="I95" i="88"/>
  <c r="J95" i="88" s="1"/>
  <c r="H95" i="88"/>
  <c r="D95" i="88"/>
  <c r="I94" i="88"/>
  <c r="H94" i="88"/>
  <c r="D94" i="88"/>
  <c r="I93" i="88"/>
  <c r="H93" i="88"/>
  <c r="D93" i="88"/>
  <c r="I92" i="88"/>
  <c r="J92" i="88" s="1"/>
  <c r="H92" i="88"/>
  <c r="D92" i="88"/>
  <c r="I91" i="88"/>
  <c r="J91" i="88" s="1"/>
  <c r="H91" i="88"/>
  <c r="D91" i="88"/>
  <c r="I90" i="88"/>
  <c r="H90" i="88"/>
  <c r="D90" i="88"/>
  <c r="I89" i="88"/>
  <c r="H89" i="88"/>
  <c r="D89" i="88"/>
  <c r="I88" i="88"/>
  <c r="H88" i="88"/>
  <c r="D88" i="88"/>
  <c r="I87" i="88"/>
  <c r="H87" i="88"/>
  <c r="D87" i="88"/>
  <c r="I86" i="88"/>
  <c r="H86" i="88"/>
  <c r="D86" i="88"/>
  <c r="I85" i="88"/>
  <c r="H85" i="88"/>
  <c r="D85" i="88"/>
  <c r="I84" i="88"/>
  <c r="H84" i="88"/>
  <c r="D84" i="88"/>
  <c r="I83" i="88"/>
  <c r="H83" i="88"/>
  <c r="D83" i="88"/>
  <c r="I82" i="88"/>
  <c r="H82" i="88"/>
  <c r="D82" i="88"/>
  <c r="I81" i="88"/>
  <c r="H81" i="88"/>
  <c r="D81" i="88"/>
  <c r="I80" i="88"/>
  <c r="H80" i="88"/>
  <c r="D80" i="88"/>
  <c r="I79" i="88"/>
  <c r="J79" i="88" s="1"/>
  <c r="H79" i="88"/>
  <c r="D79" i="88"/>
  <c r="I78" i="88"/>
  <c r="H78" i="88"/>
  <c r="D78" i="88"/>
  <c r="I77" i="88"/>
  <c r="J77" i="88" s="1"/>
  <c r="H77" i="88"/>
  <c r="D77" i="88"/>
  <c r="I76" i="88"/>
  <c r="H76" i="88"/>
  <c r="D76" i="88"/>
  <c r="I75" i="88"/>
  <c r="J75" i="88" s="1"/>
  <c r="H75" i="88"/>
  <c r="D75" i="88"/>
  <c r="I74" i="88"/>
  <c r="H74" i="88"/>
  <c r="D74" i="88"/>
  <c r="I73" i="88"/>
  <c r="H73" i="88"/>
  <c r="D73" i="88"/>
  <c r="I72" i="88"/>
  <c r="J72" i="88" s="1"/>
  <c r="H72" i="88"/>
  <c r="D72" i="88"/>
  <c r="I71" i="88"/>
  <c r="J71" i="88" s="1"/>
  <c r="H71" i="88"/>
  <c r="D71" i="88"/>
  <c r="I70" i="88"/>
  <c r="H70" i="88"/>
  <c r="D70" i="88"/>
  <c r="I69" i="88"/>
  <c r="H69" i="88"/>
  <c r="D69" i="88"/>
  <c r="I68" i="88"/>
  <c r="H68" i="88"/>
  <c r="D68" i="88"/>
  <c r="I67" i="88"/>
  <c r="H67" i="88"/>
  <c r="D67" i="88"/>
  <c r="I66" i="88"/>
  <c r="H66" i="88"/>
  <c r="D66" i="88"/>
  <c r="I65" i="88"/>
  <c r="H65" i="88"/>
  <c r="D65" i="88"/>
  <c r="I64" i="88"/>
  <c r="H64" i="88"/>
  <c r="D64" i="88"/>
  <c r="I63" i="88"/>
  <c r="H63" i="88"/>
  <c r="D63" i="88"/>
  <c r="I62" i="88"/>
  <c r="H62" i="88"/>
  <c r="D62" i="88"/>
  <c r="I61" i="88"/>
  <c r="H61" i="88"/>
  <c r="D61" i="88"/>
  <c r="I60" i="88"/>
  <c r="H60" i="88"/>
  <c r="D60" i="88"/>
  <c r="I59" i="88"/>
  <c r="J59" i="88" s="1"/>
  <c r="H59" i="88"/>
  <c r="D59" i="88"/>
  <c r="I58" i="88"/>
  <c r="H58" i="88"/>
  <c r="D58" i="88"/>
  <c r="I57" i="88"/>
  <c r="J57" i="88" s="1"/>
  <c r="H57" i="88"/>
  <c r="D57" i="88"/>
  <c r="I56" i="88"/>
  <c r="H56" i="88"/>
  <c r="D56" i="88"/>
  <c r="I55" i="88"/>
  <c r="J55" i="88" s="1"/>
  <c r="H55" i="88"/>
  <c r="D55" i="88"/>
  <c r="I54" i="88"/>
  <c r="H54" i="88"/>
  <c r="D54" i="88"/>
  <c r="I53" i="88"/>
  <c r="H53" i="88"/>
  <c r="D53" i="88"/>
  <c r="I52" i="88"/>
  <c r="J52" i="88" s="1"/>
  <c r="H52" i="88"/>
  <c r="D52" i="88"/>
  <c r="I51" i="88"/>
  <c r="J51" i="88" s="1"/>
  <c r="H51" i="88"/>
  <c r="D51" i="88"/>
  <c r="I50" i="88"/>
  <c r="H50" i="88"/>
  <c r="D50" i="88"/>
  <c r="I49" i="88"/>
  <c r="H49" i="88"/>
  <c r="D49" i="88"/>
  <c r="I48" i="88"/>
  <c r="H48" i="88"/>
  <c r="D48" i="88"/>
  <c r="I47" i="88"/>
  <c r="H47" i="88"/>
  <c r="D47" i="88"/>
  <c r="I46" i="88"/>
  <c r="H46" i="88"/>
  <c r="D46" i="88"/>
  <c r="I45" i="88"/>
  <c r="H45" i="88"/>
  <c r="D45" i="88"/>
  <c r="I44" i="88"/>
  <c r="H44" i="88"/>
  <c r="D44" i="88"/>
  <c r="I43" i="88"/>
  <c r="H43" i="88"/>
  <c r="D43" i="88"/>
  <c r="I42" i="88"/>
  <c r="H42" i="88"/>
  <c r="D42" i="88"/>
  <c r="I41" i="88"/>
  <c r="H41" i="88"/>
  <c r="D41" i="88"/>
  <c r="I40" i="88"/>
  <c r="H40" i="88"/>
  <c r="D40" i="88"/>
  <c r="I39" i="88"/>
  <c r="J39" i="88" s="1"/>
  <c r="H39" i="88"/>
  <c r="D39" i="88"/>
  <c r="I38" i="88"/>
  <c r="H38" i="88"/>
  <c r="D38" i="88"/>
  <c r="I37" i="88"/>
  <c r="J37" i="88" s="1"/>
  <c r="H37" i="88"/>
  <c r="D37" i="88"/>
  <c r="I36" i="88"/>
  <c r="H36" i="88"/>
  <c r="D36" i="88"/>
  <c r="I35" i="88"/>
  <c r="J35" i="88" s="1"/>
  <c r="H35" i="88"/>
  <c r="D35" i="88"/>
  <c r="I34" i="88"/>
  <c r="H34" i="88"/>
  <c r="D34" i="88"/>
  <c r="I33" i="88"/>
  <c r="H33" i="88"/>
  <c r="D33" i="88"/>
  <c r="I32" i="88"/>
  <c r="J32" i="88" s="1"/>
  <c r="H32" i="88"/>
  <c r="D32" i="88"/>
  <c r="I31" i="88"/>
  <c r="J31" i="88" s="1"/>
  <c r="H31" i="88"/>
  <c r="D31" i="88"/>
  <c r="I30" i="88"/>
  <c r="H30" i="88"/>
  <c r="D30" i="88"/>
  <c r="I29" i="88"/>
  <c r="H29" i="88"/>
  <c r="D29" i="88"/>
  <c r="I28" i="88"/>
  <c r="H28" i="88"/>
  <c r="D28" i="88"/>
  <c r="I27" i="88"/>
  <c r="H27" i="88"/>
  <c r="D27" i="88"/>
  <c r="I26" i="88"/>
  <c r="H26" i="88"/>
  <c r="D26" i="88"/>
  <c r="I25" i="88"/>
  <c r="H25" i="88"/>
  <c r="D25" i="88"/>
  <c r="I24" i="88"/>
  <c r="H24" i="88"/>
  <c r="D24" i="88"/>
  <c r="I23" i="88"/>
  <c r="H23" i="88"/>
  <c r="D23" i="88"/>
  <c r="I22" i="88"/>
  <c r="H22" i="88"/>
  <c r="D22" i="88"/>
  <c r="I21" i="88"/>
  <c r="H21" i="88"/>
  <c r="D21" i="88"/>
  <c r="I20" i="88"/>
  <c r="H20" i="88"/>
  <c r="D20" i="88"/>
  <c r="I19" i="88"/>
  <c r="J19" i="88" s="1"/>
  <c r="H19" i="88"/>
  <c r="D19" i="88"/>
  <c r="I18" i="88"/>
  <c r="H18" i="88"/>
  <c r="D18" i="88"/>
  <c r="I17" i="88"/>
  <c r="J17" i="88" s="1"/>
  <c r="H17" i="88"/>
  <c r="D17" i="88"/>
  <c r="I16" i="88"/>
  <c r="H16" i="88"/>
  <c r="D16" i="88"/>
  <c r="I15" i="88"/>
  <c r="J15" i="88" s="1"/>
  <c r="H15" i="88"/>
  <c r="D15" i="88"/>
  <c r="I14" i="88"/>
  <c r="H14" i="88"/>
  <c r="D14" i="88"/>
  <c r="I13" i="88"/>
  <c r="H13" i="88"/>
  <c r="D13" i="88"/>
  <c r="I12" i="88"/>
  <c r="J12" i="88" s="1"/>
  <c r="H12" i="88"/>
  <c r="D12" i="88"/>
  <c r="I11" i="88"/>
  <c r="J11" i="88" s="1"/>
  <c r="H11" i="88"/>
  <c r="D11" i="88"/>
  <c r="I10" i="88"/>
  <c r="H10" i="88"/>
  <c r="D10" i="88"/>
  <c r="I9" i="88"/>
  <c r="H9" i="88"/>
  <c r="D9" i="88"/>
  <c r="I8" i="88"/>
  <c r="H8" i="88"/>
  <c r="D8" i="88"/>
  <c r="I7" i="88"/>
  <c r="H7" i="88"/>
  <c r="D7" i="88"/>
  <c r="I6" i="88"/>
  <c r="H6" i="88"/>
  <c r="D6" i="88"/>
  <c r="I5" i="88"/>
  <c r="H5" i="88"/>
  <c r="D5" i="88"/>
  <c r="I4" i="88"/>
  <c r="H4" i="88"/>
  <c r="D4" i="88"/>
  <c r="E5" i="87"/>
  <c r="H5" i="87" s="1"/>
  <c r="I5" i="87" s="1"/>
  <c r="E6" i="87"/>
  <c r="H6" i="87" s="1"/>
  <c r="I6" i="87" s="1"/>
  <c r="E7" i="87"/>
  <c r="H7" i="87" s="1"/>
  <c r="I7" i="87" s="1"/>
  <c r="E8" i="87"/>
  <c r="H8" i="87" s="1"/>
  <c r="I8" i="87" s="1"/>
  <c r="E9" i="87"/>
  <c r="H9" i="87" s="1"/>
  <c r="I9" i="87" s="1"/>
  <c r="E10" i="87"/>
  <c r="H10" i="87"/>
  <c r="I10" i="87" s="1"/>
  <c r="E11" i="87"/>
  <c r="H11" i="87" s="1"/>
  <c r="I11" i="87" s="1"/>
  <c r="E12" i="87"/>
  <c r="H12" i="87"/>
  <c r="I12" i="87" s="1"/>
  <c r="E13" i="87"/>
  <c r="H13" i="87" s="1"/>
  <c r="I13" i="87" s="1"/>
  <c r="J26" i="88" l="1"/>
  <c r="J81" i="88"/>
  <c r="J8" i="88"/>
  <c r="J28" i="88"/>
  <c r="J48" i="88"/>
  <c r="J68" i="88"/>
  <c r="J88" i="88"/>
  <c r="J108" i="88"/>
  <c r="J33" i="88"/>
  <c r="J53" i="88"/>
  <c r="J93" i="88"/>
  <c r="J20" i="88"/>
  <c r="J40" i="88"/>
  <c r="J60" i="88"/>
  <c r="J80" i="88"/>
  <c r="J100" i="88"/>
  <c r="J7" i="88"/>
  <c r="J27" i="88"/>
  <c r="J67" i="88"/>
  <c r="J87" i="88"/>
  <c r="J107" i="88"/>
  <c r="J14" i="88"/>
  <c r="J54" i="88"/>
  <c r="J74" i="88"/>
  <c r="J21" i="88"/>
  <c r="J41" i="88"/>
  <c r="J101" i="88"/>
  <c r="J22" i="88"/>
  <c r="J42" i="88"/>
  <c r="J62" i="88"/>
  <c r="J82" i="88"/>
  <c r="J102" i="88"/>
  <c r="J23" i="88"/>
  <c r="J43" i="88"/>
  <c r="J63" i="88"/>
  <c r="J83" i="88"/>
  <c r="J103" i="88"/>
  <c r="J10" i="88"/>
  <c r="J30" i="88"/>
  <c r="J50" i="88"/>
  <c r="J70" i="88"/>
  <c r="J90" i="88"/>
  <c r="J110" i="88"/>
  <c r="J6" i="88"/>
  <c r="J46" i="88"/>
  <c r="J66" i="88"/>
  <c r="J86" i="88"/>
  <c r="J106" i="88"/>
  <c r="J13" i="88"/>
  <c r="J61" i="88"/>
  <c r="J76" i="88"/>
  <c r="J4" i="88"/>
  <c r="J24" i="88"/>
  <c r="J44" i="88"/>
  <c r="J64" i="88"/>
  <c r="J84" i="88"/>
  <c r="J104" i="88"/>
  <c r="J18" i="88"/>
  <c r="J9" i="88"/>
  <c r="J29" i="88"/>
  <c r="J49" i="88"/>
  <c r="J69" i="88"/>
  <c r="J89" i="88"/>
  <c r="J109" i="88"/>
  <c r="J16" i="88"/>
  <c r="J38" i="88"/>
  <c r="J58" i="88"/>
  <c r="J78" i="88"/>
  <c r="J98" i="88"/>
  <c r="J5" i="88"/>
  <c r="J25" i="88"/>
  <c r="J45" i="88"/>
  <c r="J65" i="88"/>
  <c r="J85" i="88"/>
  <c r="J105" i="88"/>
  <c r="J73" i="88"/>
  <c r="J47" i="88"/>
  <c r="J34" i="88"/>
  <c r="J94" i="88"/>
  <c r="J36" i="88"/>
  <c r="J56" i="88"/>
  <c r="J96" i="88"/>
  <c r="H29" i="89"/>
  <c r="I14" i="87"/>
  <c r="H30" i="89" l="1"/>
  <c r="H31" i="89" s="1"/>
  <c r="C7" i="8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박은정</author>
  </authors>
  <commentList>
    <comment ref="J3" authorId="0" shapeId="0" xr:uid="{00000000-0006-0000-3400-000001000000}">
      <text>
        <r>
          <rPr>
            <b/>
            <sz val="9"/>
            <color indexed="81"/>
            <rFont val="굴림"/>
            <family val="3"/>
            <charset val="129"/>
          </rPr>
          <t>박은정:</t>
        </r>
        <r>
          <rPr>
            <sz val="9"/>
            <color indexed="81"/>
            <rFont val="굴림"/>
            <family val="3"/>
            <charset val="129"/>
          </rPr>
          <t xml:space="preserve">
창-&gt;틀고정
   -&gt;나누기
   -&gt;정렬</t>
        </r>
      </text>
    </comment>
  </commentList>
</comments>
</file>

<file path=xl/sharedStrings.xml><?xml version="1.0" encoding="utf-8"?>
<sst xmlns="http://schemas.openxmlformats.org/spreadsheetml/2006/main" count="638" uniqueCount="394">
  <si>
    <t>단위</t>
    <phoneticPr fontId="9" type="noConversion"/>
  </si>
  <si>
    <t>입력값</t>
    <phoneticPr fontId="5" type="noConversion"/>
  </si>
  <si>
    <t>표시 형식</t>
    <phoneticPr fontId="5" type="noConversion"/>
  </si>
  <si>
    <t>표시 형식 적용</t>
    <phoneticPr fontId="5" type="noConversion"/>
  </si>
  <si>
    <t>일반</t>
    <phoneticPr fontId="5" type="noConversion"/>
  </si>
  <si>
    <t>숫자</t>
    <phoneticPr fontId="5" type="noConversion"/>
  </si>
  <si>
    <t>통화</t>
    <phoneticPr fontId="5" type="noConversion"/>
  </si>
  <si>
    <t>회계</t>
    <phoneticPr fontId="5" type="noConversion"/>
  </si>
  <si>
    <t>백분율</t>
    <phoneticPr fontId="5" type="noConversion"/>
  </si>
  <si>
    <t>분수</t>
    <phoneticPr fontId="5" type="noConversion"/>
  </si>
  <si>
    <t>지수</t>
    <phoneticPr fontId="5" type="noConversion"/>
  </si>
  <si>
    <t>텍스트</t>
    <phoneticPr fontId="5" type="noConversion"/>
  </si>
  <si>
    <t>숫자 표시 형식</t>
    <phoneticPr fontId="5" type="noConversion"/>
  </si>
  <si>
    <t>소수 자릿수</t>
    <phoneticPr fontId="5" type="noConversion"/>
  </si>
  <si>
    <t>천단위 구분 기호</t>
    <phoneticPr fontId="5" type="noConversion"/>
  </si>
  <si>
    <t>음수
(천단위 구분 기호)</t>
    <phoneticPr fontId="5" type="noConversion"/>
  </si>
  <si>
    <t>통화 유형</t>
    <phoneticPr fontId="5" type="noConversion"/>
  </si>
  <si>
    <t>통화 유형 적용</t>
    <phoneticPr fontId="5" type="noConversion"/>
  </si>
  <si>
    <t>\ 한국어</t>
    <phoneticPr fontId="5" type="noConversion"/>
  </si>
  <si>
    <t>$ 영어(미국)</t>
    <phoneticPr fontId="5" type="noConversion"/>
  </si>
  <si>
    <t>영어(영국)</t>
    <phoneticPr fontId="5" type="noConversion"/>
  </si>
  <si>
    <r>
      <rPr>
        <sz val="11"/>
        <color theme="1"/>
        <rFont val="맑은 고딕"/>
        <family val="2"/>
        <charset val="129"/>
        <scheme val="minor"/>
      </rPr>
      <t>€</t>
    </r>
    <r>
      <rPr>
        <sz val="11"/>
        <color theme="1"/>
        <rFont val="맑은 고딕"/>
        <family val="3"/>
        <charset val="129"/>
        <scheme val="minor"/>
      </rPr>
      <t xml:space="preserve"> 유로</t>
    </r>
    <phoneticPr fontId="5" type="noConversion"/>
  </si>
  <si>
    <t>¥ 일본어</t>
    <phoneticPr fontId="5" type="noConversion"/>
  </si>
  <si>
    <t>¥ 중국어</t>
    <phoneticPr fontId="5" type="noConversion"/>
  </si>
  <si>
    <t>날짜 표시 형식</t>
    <phoneticPr fontId="5" type="noConversion"/>
  </si>
  <si>
    <t>년-월-일</t>
    <phoneticPr fontId="5" type="noConversion"/>
  </si>
  <si>
    <t>년 월 일</t>
    <phoneticPr fontId="5" type="noConversion"/>
  </si>
  <si>
    <t>年 月 日</t>
    <phoneticPr fontId="5" type="noConversion"/>
  </si>
  <si>
    <t>년 월</t>
    <phoneticPr fontId="5" type="noConversion"/>
  </si>
  <si>
    <t>월 일</t>
    <phoneticPr fontId="5" type="noConversion"/>
  </si>
  <si>
    <t>기타 표시 형식</t>
    <phoneticPr fontId="5" type="noConversion"/>
  </si>
  <si>
    <t>우편번호</t>
  </si>
  <si>
    <t>전화번호(국번4자리)</t>
  </si>
  <si>
    <t>전화번호(국번3자리)</t>
  </si>
  <si>
    <t>주민등록번호</t>
  </si>
  <si>
    <t>참조연산자</t>
    <phoneticPr fontId="9" type="noConversion"/>
  </si>
  <si>
    <t>&amp;</t>
    <phoneticPr fontId="9" type="noConversion"/>
  </si>
  <si>
    <t>텍스트연산자</t>
    <phoneticPr fontId="9" type="noConversion"/>
  </si>
  <si>
    <t>&gt;,&lt;,&gt;=,&lt;=,&lt;&gt;,=</t>
    <phoneticPr fontId="9" type="noConversion"/>
  </si>
  <si>
    <t>비교연산자</t>
    <phoneticPr fontId="9" type="noConversion"/>
  </si>
  <si>
    <t>+, -, /, *</t>
    <phoneticPr fontId="9" type="noConversion"/>
  </si>
  <si>
    <t>산술연산자</t>
    <phoneticPr fontId="9" type="noConversion"/>
  </si>
  <si>
    <t>예</t>
    <phoneticPr fontId="9" type="noConversion"/>
  </si>
  <si>
    <t>▣ 엑셀에서 사용되는 연산자</t>
    <phoneticPr fontId="9" type="noConversion"/>
  </si>
  <si>
    <t>TRUE, FALSE</t>
    <phoneticPr fontId="9" type="noConversion"/>
  </si>
  <si>
    <t>논리값데이터</t>
    <phoneticPr fontId="9" type="noConversion"/>
  </si>
  <si>
    <t>날짜/시간데이터</t>
    <phoneticPr fontId="9" type="noConversion"/>
  </si>
  <si>
    <t>=, +, /,*, -</t>
    <phoneticPr fontId="9" type="noConversion"/>
  </si>
  <si>
    <t>수식데이터</t>
    <phoneticPr fontId="9" type="noConversion"/>
  </si>
  <si>
    <t>숫자데이터</t>
    <phoneticPr fontId="9" type="noConversion"/>
  </si>
  <si>
    <t>문자데이터</t>
    <phoneticPr fontId="9" type="noConversion"/>
  </si>
  <si>
    <t>▣ 엑셀데이터의 종류</t>
    <phoneticPr fontId="9" type="noConversion"/>
  </si>
  <si>
    <t>☎</t>
    <phoneticPr fontId="9" type="noConversion"/>
  </si>
  <si>
    <t>→</t>
    <phoneticPr fontId="9" type="noConversion"/>
  </si>
  <si>
    <t>(TEL)</t>
    <phoneticPr fontId="9" type="noConversion"/>
  </si>
  <si>
    <t>®</t>
    <phoneticPr fontId="9" type="noConversion"/>
  </si>
  <si>
    <t>(R)</t>
    <phoneticPr fontId="9" type="noConversion"/>
  </si>
  <si>
    <t>㉿</t>
    <phoneticPr fontId="9" type="noConversion"/>
  </si>
  <si>
    <t>(ks)</t>
    <phoneticPr fontId="9" type="noConversion"/>
  </si>
  <si>
    <t>©</t>
    <phoneticPr fontId="9" type="noConversion"/>
  </si>
  <si>
    <t>(c)</t>
    <phoneticPr fontId="9" type="noConversion"/>
  </si>
  <si>
    <t>㈜</t>
    <phoneticPr fontId="9" type="noConversion"/>
  </si>
  <si>
    <t>(주)</t>
    <phoneticPr fontId="9" type="noConversion"/>
  </si>
  <si>
    <t>프로그램- 보조프로그램-시스템도구-문자표-선택-복사-붙여넣기</t>
    <phoneticPr fontId="9" type="noConversion"/>
  </si>
  <si>
    <t>2. 문자표를 이용</t>
    <phoneticPr fontId="9" type="noConversion"/>
  </si>
  <si>
    <t>А,Б,Д,Ж,З,Ё,Й</t>
    <phoneticPr fontId="9" type="noConversion"/>
  </si>
  <si>
    <t>러시아</t>
    <phoneticPr fontId="9" type="noConversion"/>
  </si>
  <si>
    <t>ㅆ</t>
    <phoneticPr fontId="9" type="noConversion"/>
  </si>
  <si>
    <t>ァ,ア,ィ,イ,ゥ,ウ</t>
    <phoneticPr fontId="9" type="noConversion"/>
  </si>
  <si>
    <t>카타가나</t>
    <phoneticPr fontId="9" type="noConversion"/>
  </si>
  <si>
    <t>ㅃ</t>
    <phoneticPr fontId="9" type="noConversion"/>
  </si>
  <si>
    <t>ぁ,あ,ぃ,い,ぅ</t>
    <phoneticPr fontId="9" type="noConversion"/>
  </si>
  <si>
    <t>히라가나</t>
    <phoneticPr fontId="9" type="noConversion"/>
  </si>
  <si>
    <t>ㄸ</t>
    <phoneticPr fontId="9" type="noConversion"/>
  </si>
  <si>
    <t>Æ,Ð,Ħ,Ŀ,Œ,ß,ŋ,ŉ</t>
    <phoneticPr fontId="9" type="noConversion"/>
  </si>
  <si>
    <t>라틴문자</t>
    <phoneticPr fontId="9" type="noConversion"/>
  </si>
  <si>
    <t>ㄲ</t>
    <phoneticPr fontId="9" type="noConversion"/>
  </si>
  <si>
    <t>Ａ,Ｂ,Ｃ,ａ,ｂ,ｙ,ｚ</t>
    <phoneticPr fontId="9" type="noConversion"/>
  </si>
  <si>
    <t>배각영문</t>
    <phoneticPr fontId="9" type="noConversion"/>
  </si>
  <si>
    <t>ㅍ</t>
    <phoneticPr fontId="9" type="noConversion"/>
  </si>
  <si>
    <t>½,⅓,⅔,⅝,²,³,ⁿ,₂,₃,₄</t>
    <phoneticPr fontId="9" type="noConversion"/>
  </si>
  <si>
    <t>분수</t>
    <phoneticPr fontId="9" type="noConversion"/>
  </si>
  <si>
    <t>ㅊ</t>
    <phoneticPr fontId="9" type="noConversion"/>
  </si>
  <si>
    <t>ㅥ,ㅧ,ㅨ,ㅪ,ㅫ,ㅶ,ㅿ,ㆋ,ㆌ,ㆍ,ㆎ</t>
    <phoneticPr fontId="9" type="noConversion"/>
  </si>
  <si>
    <t>한글모음</t>
    <phoneticPr fontId="9" type="noConversion"/>
  </si>
  <si>
    <t>ㅌ</t>
    <phoneticPr fontId="9" type="noConversion"/>
  </si>
  <si>
    <t>ㄱ,ㄲ,ㄳ,ㄵ,ㄶ,ㅈ,ㅘ,ㅙ,ㅢ,ㅣ</t>
    <phoneticPr fontId="9" type="noConversion"/>
  </si>
  <si>
    <t>한글자음</t>
    <phoneticPr fontId="9" type="noConversion"/>
  </si>
  <si>
    <t>ㅋ</t>
    <phoneticPr fontId="9" type="noConversion"/>
  </si>
  <si>
    <t>Α,Β,Γ,Δ,Ε,Ζ,Θ,β,φ,ψ,ω</t>
    <phoneticPr fontId="9" type="noConversion"/>
  </si>
  <si>
    <t>그리스문자</t>
    <phoneticPr fontId="9" type="noConversion"/>
  </si>
  <si>
    <t>ㅎ</t>
    <phoneticPr fontId="9" type="noConversion"/>
  </si>
  <si>
    <t>㉠,㉡,㉲,㉴,㈎,㈏,㈛</t>
    <phoneticPr fontId="9" type="noConversion"/>
  </si>
  <si>
    <t>원,괄호(한글)</t>
    <phoneticPr fontId="9" type="noConversion"/>
  </si>
  <si>
    <t>ㅅ</t>
    <phoneticPr fontId="9" type="noConversion"/>
  </si>
  <si>
    <t>！,＇,，,／,：,；,？,∥,˘,¿,∼</t>
    <phoneticPr fontId="9" type="noConversion"/>
  </si>
  <si>
    <t>문장부호</t>
    <phoneticPr fontId="9" type="noConversion"/>
  </si>
  <si>
    <t>ㄱ</t>
    <phoneticPr fontId="9" type="noConversion"/>
  </si>
  <si>
    <t>＋,＜,＝,±,÷,≠,≫,∬,∈,∀,∑,∮</t>
    <phoneticPr fontId="9" type="noConversion"/>
  </si>
  <si>
    <t>수학기호</t>
    <phoneticPr fontId="9" type="noConversion"/>
  </si>
  <si>
    <t>ㄷ</t>
    <phoneticPr fontId="9" type="noConversion"/>
  </si>
  <si>
    <t>０,１,８,ⅰ,ⅱ,Ⅰ,Ⅳ,Ⅹ</t>
    <phoneticPr fontId="9" type="noConversion"/>
  </si>
  <si>
    <t>숫자</t>
    <phoneticPr fontId="9" type="noConversion"/>
  </si>
  <si>
    <t>ㅈ</t>
    <phoneticPr fontId="9" type="noConversion"/>
  </si>
  <si>
    <t>─,┴,┘,┤,┿,┦,╊</t>
    <phoneticPr fontId="9" type="noConversion"/>
  </si>
  <si>
    <t>배각괘선</t>
    <phoneticPr fontId="9" type="noConversion"/>
  </si>
  <si>
    <t>ㅂ</t>
    <phoneticPr fontId="9" type="noConversion"/>
  </si>
  <si>
    <t>＂,（,［,‘,｝,《,『,【,】</t>
    <phoneticPr fontId="9" type="noConversion"/>
  </si>
  <si>
    <t>괄호</t>
    <phoneticPr fontId="9" type="noConversion"/>
  </si>
  <si>
    <t>ㄴ</t>
    <phoneticPr fontId="9" type="noConversion"/>
  </si>
  <si>
    <t>＄,％,￦,Ｆ,￠,Å,㎞,㎣,㏊,Ω,㎮</t>
    <phoneticPr fontId="9" type="noConversion"/>
  </si>
  <si>
    <t>ㄹ</t>
    <phoneticPr fontId="9" type="noConversion"/>
  </si>
  <si>
    <t>ⓐ,ⓑ,②,⑩,⒜,⑹,⒂</t>
    <phoneticPr fontId="9" type="noConversion"/>
  </si>
  <si>
    <t>원,괄호(영문)</t>
    <phoneticPr fontId="9" type="noConversion"/>
  </si>
  <si>
    <t>ㅇ</t>
    <phoneticPr fontId="9" type="noConversion"/>
  </si>
  <si>
    <t>＃,＆,＊,＠,§,※,☆</t>
    <phoneticPr fontId="9" type="noConversion"/>
  </si>
  <si>
    <t>일반도형</t>
    <phoneticPr fontId="9" type="noConversion"/>
  </si>
  <si>
    <t>ㅁ</t>
    <phoneticPr fontId="9" type="noConversion"/>
  </si>
  <si>
    <t>표기</t>
    <phoneticPr fontId="9" type="noConversion"/>
  </si>
  <si>
    <t>설명</t>
    <phoneticPr fontId="9" type="noConversion"/>
  </si>
  <si>
    <t>자음</t>
    <phoneticPr fontId="9" type="noConversion"/>
  </si>
  <si>
    <t>1. 한글자음을 입력후 한자 키를 눌러 원하는 문자를 선택</t>
    <phoneticPr fontId="9" type="noConversion"/>
  </si>
  <si>
    <t>&lt;특수문자 사용법&gt;</t>
    <phoneticPr fontId="9" type="noConversion"/>
  </si>
  <si>
    <t>※. 엑셀옵션-언어교정-자동고침옵션</t>
    <phoneticPr fontId="9" type="noConversion"/>
  </si>
  <si>
    <t>;    ,  "공백"</t>
    <phoneticPr fontId="9" type="noConversion"/>
  </si>
  <si>
    <t>년-월-일,년/월/일,  시:분:초 AM</t>
    <phoneticPr fontId="1" type="noConversion"/>
  </si>
  <si>
    <t>단가</t>
  </si>
  <si>
    <t>성명</t>
    <phoneticPr fontId="9" type="noConversion"/>
  </si>
  <si>
    <t>셀서식 - 사용자 지정</t>
    <phoneticPr fontId="9" type="noConversion"/>
  </si>
  <si>
    <t>순번</t>
    <phoneticPr fontId="9" type="noConversion"/>
  </si>
  <si>
    <t>개</t>
    <phoneticPr fontId="9" type="noConversion"/>
  </si>
  <si>
    <t>BOX</t>
    <phoneticPr fontId="9" type="noConversion"/>
  </si>
  <si>
    <t>원</t>
    <phoneticPr fontId="9" type="noConversion"/>
  </si>
  <si>
    <t>천원</t>
    <phoneticPr fontId="9" type="noConversion"/>
  </si>
  <si>
    <t>백만원</t>
    <phoneticPr fontId="9" type="noConversion"/>
  </si>
  <si>
    <t>억원</t>
    <phoneticPr fontId="9" type="noConversion"/>
  </si>
  <si>
    <t>소수자리수맞춤</t>
    <phoneticPr fontId="9" type="noConversion"/>
  </si>
  <si>
    <t>분수자리수맞춤</t>
    <phoneticPr fontId="9" type="noConversion"/>
  </si>
  <si>
    <t>0*-</t>
    <phoneticPr fontId="9" type="noConversion"/>
  </si>
  <si>
    <t>순번</t>
  </si>
  <si>
    <t>개</t>
  </si>
  <si>
    <t>BOX</t>
  </si>
  <si>
    <t>원</t>
  </si>
  <si>
    <t>천원</t>
  </si>
  <si>
    <t>백만원</t>
  </si>
  <si>
    <t>억원</t>
  </si>
  <si>
    <t>소수자리수맞춤</t>
  </si>
  <si>
    <t>분수자리수맞춤</t>
  </si>
  <si>
    <t>0*-</t>
  </si>
  <si>
    <r>
      <t>#과</t>
    </r>
    <r>
      <rPr>
        <sz val="11"/>
        <color theme="1"/>
        <rFont val="맑은 고딕"/>
        <family val="2"/>
        <charset val="129"/>
        <scheme val="minor"/>
      </rPr>
      <t xml:space="preserve"> 0 차이</t>
    </r>
    <phoneticPr fontId="9" type="noConversion"/>
  </si>
  <si>
    <t>#.###</t>
    <phoneticPr fontId="9" type="noConversion"/>
  </si>
  <si>
    <t>#.000</t>
    <phoneticPr fontId="9" type="noConversion"/>
  </si>
  <si>
    <t>0.###</t>
    <phoneticPr fontId="9" type="noConversion"/>
  </si>
  <si>
    <t>수량</t>
    <phoneticPr fontId="9" type="noConversion"/>
  </si>
  <si>
    <t>사원</t>
    <phoneticPr fontId="9" type="noConversion"/>
  </si>
  <si>
    <t>대리</t>
    <phoneticPr fontId="9" type="noConversion"/>
  </si>
  <si>
    <t>과장</t>
    <phoneticPr fontId="9" type="noConversion"/>
  </si>
  <si>
    <t>대리</t>
    <phoneticPr fontId="9" type="noConversion"/>
  </si>
  <si>
    <t>사원</t>
    <phoneticPr fontId="9" type="noConversion"/>
  </si>
  <si>
    <t>부장</t>
    <phoneticPr fontId="9" type="noConversion"/>
  </si>
  <si>
    <t>사원</t>
    <phoneticPr fontId="9" type="noConversion"/>
  </si>
  <si>
    <t>과장</t>
    <phoneticPr fontId="9" type="noConversion"/>
  </si>
  <si>
    <t>부장</t>
    <phoneticPr fontId="9" type="noConversion"/>
  </si>
  <si>
    <t>보급형</t>
    <phoneticPr fontId="9" type="noConversion"/>
  </si>
  <si>
    <t>일반형</t>
    <phoneticPr fontId="9" type="noConversion"/>
  </si>
  <si>
    <t>특급형</t>
    <phoneticPr fontId="9" type="noConversion"/>
  </si>
  <si>
    <t>할인율 인하</t>
    <phoneticPr fontId="9" type="noConversion"/>
  </si>
  <si>
    <t>할인율 인상</t>
    <phoneticPr fontId="9" type="noConversion"/>
  </si>
  <si>
    <t>할인율</t>
  </si>
  <si>
    <t>총청구액</t>
    <phoneticPr fontId="9" type="noConversion"/>
  </si>
  <si>
    <t>곽인정</t>
  </si>
  <si>
    <t>장은지</t>
  </si>
  <si>
    <t>표인종</t>
  </si>
  <si>
    <t>이상호</t>
  </si>
  <si>
    <t>심희수</t>
    <phoneticPr fontId="9" type="noConversion"/>
  </si>
  <si>
    <t>추인혜</t>
  </si>
  <si>
    <t>강대수</t>
  </si>
  <si>
    <t>최용준</t>
  </si>
  <si>
    <t>박종수</t>
  </si>
  <si>
    <t>청구액</t>
  </si>
  <si>
    <t>부가세</t>
    <phoneticPr fontId="9" type="noConversion"/>
  </si>
  <si>
    <t>장비임대료</t>
    <phoneticPr fontId="9" type="noConversion"/>
  </si>
  <si>
    <t>계약기간</t>
    <phoneticPr fontId="9" type="noConversion"/>
  </si>
  <si>
    <t>할인료</t>
    <phoneticPr fontId="9" type="noConversion"/>
  </si>
  <si>
    <t>기본료</t>
    <phoneticPr fontId="9" type="noConversion"/>
  </si>
  <si>
    <t>종류</t>
    <phoneticPr fontId="9" type="noConversion"/>
  </si>
  <si>
    <t>가입자</t>
    <phoneticPr fontId="9" type="noConversion"/>
  </si>
  <si>
    <r>
      <t>초고속 인터넷</t>
    </r>
    <r>
      <rPr>
        <sz val="11"/>
        <color theme="1"/>
        <rFont val="맑은 고딕"/>
        <family val="2"/>
        <charset val="129"/>
        <scheme val="minor"/>
      </rPr>
      <t xml:space="preserve"> 통신망 사용 내역서</t>
    </r>
    <phoneticPr fontId="9" type="noConversion"/>
  </si>
  <si>
    <t>사원급여명세표</t>
    <phoneticPr fontId="9" type="noConversion"/>
  </si>
  <si>
    <t>사원번호</t>
    <phoneticPr fontId="9" type="noConversion"/>
  </si>
  <si>
    <t>사원명</t>
    <phoneticPr fontId="9" type="noConversion"/>
  </si>
  <si>
    <t>부서</t>
    <phoneticPr fontId="9" type="noConversion"/>
  </si>
  <si>
    <t>직급</t>
    <phoneticPr fontId="9" type="noConversion"/>
  </si>
  <si>
    <t>기본급</t>
    <phoneticPr fontId="9" type="noConversion"/>
  </si>
  <si>
    <t>가족수</t>
    <phoneticPr fontId="9" type="noConversion"/>
  </si>
  <si>
    <t>업무수당</t>
    <phoneticPr fontId="9" type="noConversion"/>
  </si>
  <si>
    <t>가족수당</t>
    <phoneticPr fontId="9" type="noConversion"/>
  </si>
  <si>
    <t>급여액</t>
    <phoneticPr fontId="9" type="noConversion"/>
  </si>
  <si>
    <t>A1001</t>
    <phoneticPr fontId="9" type="noConversion"/>
  </si>
  <si>
    <t>김유신</t>
    <phoneticPr fontId="9" type="noConversion"/>
  </si>
  <si>
    <t>부장</t>
    <phoneticPr fontId="9" type="noConversion"/>
  </si>
  <si>
    <t>B1001</t>
    <phoneticPr fontId="9" type="noConversion"/>
  </si>
  <si>
    <t>이순신</t>
    <phoneticPr fontId="9" type="noConversion"/>
  </si>
  <si>
    <t>과장</t>
    <phoneticPr fontId="9" type="noConversion"/>
  </si>
  <si>
    <t>C1001</t>
    <phoneticPr fontId="9" type="noConversion"/>
  </si>
  <si>
    <t>한석봉</t>
    <phoneticPr fontId="9" type="noConversion"/>
  </si>
  <si>
    <t>A1002</t>
  </si>
  <si>
    <t>유관순</t>
    <phoneticPr fontId="9" type="noConversion"/>
  </si>
  <si>
    <t>B1002</t>
  </si>
  <si>
    <t>김미현</t>
    <phoneticPr fontId="9" type="noConversion"/>
  </si>
  <si>
    <t>C1002</t>
  </si>
  <si>
    <t>김정희</t>
    <phoneticPr fontId="9" type="noConversion"/>
  </si>
  <si>
    <t>A1003</t>
  </si>
  <si>
    <t>김홍도</t>
    <phoneticPr fontId="9" type="noConversion"/>
  </si>
  <si>
    <t>B1003</t>
  </si>
  <si>
    <t>한정연</t>
    <phoneticPr fontId="9" type="noConversion"/>
  </si>
  <si>
    <t>C1003</t>
  </si>
  <si>
    <t>홍길동</t>
    <phoneticPr fontId="9" type="noConversion"/>
  </si>
  <si>
    <t>A1004</t>
  </si>
  <si>
    <t>B1004</t>
  </si>
  <si>
    <t>C1004</t>
  </si>
  <si>
    <t>A1005</t>
  </si>
  <si>
    <t>B1005</t>
  </si>
  <si>
    <t>C1005</t>
  </si>
  <si>
    <t>A1006</t>
  </si>
  <si>
    <t>B1006</t>
  </si>
  <si>
    <t>C1006</t>
  </si>
  <si>
    <t>A1007</t>
  </si>
  <si>
    <t>김유신</t>
    <phoneticPr fontId="9" type="noConversion"/>
  </si>
  <si>
    <t>B1007</t>
  </si>
  <si>
    <t>이순신</t>
    <phoneticPr fontId="9" type="noConversion"/>
  </si>
  <si>
    <t>C1007</t>
  </si>
  <si>
    <t>한석봉</t>
    <phoneticPr fontId="9" type="noConversion"/>
  </si>
  <si>
    <t>A1008</t>
  </si>
  <si>
    <t>유관순</t>
    <phoneticPr fontId="9" type="noConversion"/>
  </si>
  <si>
    <t>대리</t>
    <phoneticPr fontId="9" type="noConversion"/>
  </si>
  <si>
    <t>B1008</t>
  </si>
  <si>
    <t>김미현</t>
    <phoneticPr fontId="9" type="noConversion"/>
  </si>
  <si>
    <t>C1008</t>
  </si>
  <si>
    <t>김정희</t>
    <phoneticPr fontId="9" type="noConversion"/>
  </si>
  <si>
    <t>A1009</t>
  </si>
  <si>
    <t>김홍도</t>
    <phoneticPr fontId="9" type="noConversion"/>
  </si>
  <si>
    <t>B1009</t>
  </si>
  <si>
    <t>한정연</t>
    <phoneticPr fontId="9" type="noConversion"/>
  </si>
  <si>
    <t>C1009</t>
  </si>
  <si>
    <t>홍길동</t>
    <phoneticPr fontId="9" type="noConversion"/>
  </si>
  <si>
    <t>A1010</t>
  </si>
  <si>
    <t>B1010</t>
  </si>
  <si>
    <t>C1010</t>
  </si>
  <si>
    <t>A1011</t>
  </si>
  <si>
    <t>B1011</t>
  </si>
  <si>
    <t>C1011</t>
  </si>
  <si>
    <t>A1012</t>
  </si>
  <si>
    <t>B1012</t>
  </si>
  <si>
    <t>C1012</t>
  </si>
  <si>
    <t>A1013</t>
  </si>
  <si>
    <t>B1013</t>
  </si>
  <si>
    <t>C1013</t>
  </si>
  <si>
    <t>A1014</t>
  </si>
  <si>
    <t>B1014</t>
  </si>
  <si>
    <t>C1014</t>
  </si>
  <si>
    <t>A1015</t>
  </si>
  <si>
    <t>B1015</t>
  </si>
  <si>
    <t>C1015</t>
  </si>
  <si>
    <t>A1016</t>
  </si>
  <si>
    <t>B1016</t>
  </si>
  <si>
    <t>C1016</t>
  </si>
  <si>
    <t>A1017</t>
  </si>
  <si>
    <t>B1017</t>
  </si>
  <si>
    <t>C1017</t>
  </si>
  <si>
    <t>이순신</t>
    <phoneticPr fontId="9" type="noConversion"/>
  </si>
  <si>
    <t>A1018</t>
  </si>
  <si>
    <t>한석봉</t>
    <phoneticPr fontId="9" type="noConversion"/>
  </si>
  <si>
    <t>B1018</t>
  </si>
  <si>
    <t>유관순</t>
    <phoneticPr fontId="9" type="noConversion"/>
  </si>
  <si>
    <t>C1018</t>
  </si>
  <si>
    <t>김미현</t>
    <phoneticPr fontId="9" type="noConversion"/>
  </si>
  <si>
    <t>A1019</t>
  </si>
  <si>
    <t>김정희</t>
    <phoneticPr fontId="9" type="noConversion"/>
  </si>
  <si>
    <t>B1019</t>
  </si>
  <si>
    <t>김홍도</t>
    <phoneticPr fontId="9" type="noConversion"/>
  </si>
  <si>
    <t>C1019</t>
  </si>
  <si>
    <t>한정연</t>
    <phoneticPr fontId="9" type="noConversion"/>
  </si>
  <si>
    <t>A1020</t>
  </si>
  <si>
    <t>홍길동</t>
    <phoneticPr fontId="9" type="noConversion"/>
  </si>
  <si>
    <t>B1020</t>
  </si>
  <si>
    <t>김유신</t>
    <phoneticPr fontId="9" type="noConversion"/>
  </si>
  <si>
    <t>C1020</t>
  </si>
  <si>
    <t>A1021</t>
  </si>
  <si>
    <t>B1021</t>
  </si>
  <si>
    <t>C1021</t>
  </si>
  <si>
    <t>A1022</t>
  </si>
  <si>
    <t>B1022</t>
  </si>
  <si>
    <t>C1022</t>
  </si>
  <si>
    <t>A1023</t>
  </si>
  <si>
    <t>B1023</t>
  </si>
  <si>
    <t>C1023</t>
  </si>
  <si>
    <t>A1024</t>
  </si>
  <si>
    <t>B1024</t>
  </si>
  <si>
    <t>C1024</t>
  </si>
  <si>
    <t>A1025</t>
  </si>
  <si>
    <t>B1025</t>
  </si>
  <si>
    <t>C1025</t>
  </si>
  <si>
    <t>A1026</t>
  </si>
  <si>
    <t>B1026</t>
  </si>
  <si>
    <t>C1026</t>
  </si>
  <si>
    <t>A1027</t>
  </si>
  <si>
    <t>B1027</t>
  </si>
  <si>
    <t>C1027</t>
  </si>
  <si>
    <t>A1028</t>
  </si>
  <si>
    <t>B1028</t>
  </si>
  <si>
    <t>C1028</t>
  </si>
  <si>
    <t>A1029</t>
  </si>
  <si>
    <t>B1029</t>
  </si>
  <si>
    <t>C1029</t>
  </si>
  <si>
    <t>A1030</t>
  </si>
  <si>
    <t>B1030</t>
  </si>
  <si>
    <t>C1030</t>
  </si>
  <si>
    <t>A1031</t>
  </si>
  <si>
    <t>B1031</t>
  </si>
  <si>
    <t>C1031</t>
  </si>
  <si>
    <t>A1032</t>
  </si>
  <si>
    <t>B1032</t>
  </si>
  <si>
    <t>C1032</t>
  </si>
  <si>
    <t>A1033</t>
  </si>
  <si>
    <t>B1033</t>
  </si>
  <si>
    <t>C1033</t>
  </si>
  <si>
    <t>A1034</t>
  </si>
  <si>
    <t>B1034</t>
  </si>
  <si>
    <t>C1034</t>
  </si>
  <si>
    <t>A1035</t>
  </si>
  <si>
    <t>B1035</t>
  </si>
  <si>
    <t>C1035</t>
  </si>
  <si>
    <t>A1036</t>
  </si>
  <si>
    <t>B1036</t>
  </si>
  <si>
    <t>C1036</t>
  </si>
  <si>
    <t>A1037</t>
  </si>
  <si>
    <t>견  적  서</t>
    <phoneticPr fontId="9" type="noConversion"/>
  </si>
  <si>
    <t>공급자</t>
    <phoneticPr fontId="9" type="noConversion"/>
  </si>
  <si>
    <t>등록번호</t>
    <phoneticPr fontId="9" type="noConversion"/>
  </si>
  <si>
    <t>616-02-014300</t>
    <phoneticPr fontId="9" type="noConversion"/>
  </si>
  <si>
    <t>아래와 같이 견적합니다.</t>
    <phoneticPr fontId="9" type="noConversion"/>
  </si>
  <si>
    <t>상      호
(법인명)</t>
    <phoneticPr fontId="9" type="noConversion"/>
  </si>
  <si>
    <t>(주)문구나라</t>
    <phoneticPr fontId="9" type="noConversion"/>
  </si>
  <si>
    <t>장동건</t>
    <phoneticPr fontId="9" type="noConversion"/>
  </si>
  <si>
    <t>주식회사 미래유통 귀중</t>
    <phoneticPr fontId="9" type="noConversion"/>
  </si>
  <si>
    <t>사 업 장</t>
    <phoneticPr fontId="9" type="noConversion"/>
  </si>
  <si>
    <t>서귀포시 서홍동 녹낭길120번지</t>
    <phoneticPr fontId="9" type="noConversion"/>
  </si>
  <si>
    <t>합계금액 :</t>
    <phoneticPr fontId="9" type="noConversion"/>
  </si>
  <si>
    <t>원정</t>
    <phoneticPr fontId="9" type="noConversion"/>
  </si>
  <si>
    <t>전화번호</t>
    <phoneticPr fontId="9" type="noConversion"/>
  </si>
  <si>
    <t>번호</t>
    <phoneticPr fontId="9" type="noConversion"/>
  </si>
  <si>
    <t>품명</t>
    <phoneticPr fontId="9" type="noConversion"/>
  </si>
  <si>
    <t>규격</t>
    <phoneticPr fontId="9" type="noConversion"/>
  </si>
  <si>
    <t>단가</t>
    <phoneticPr fontId="9" type="noConversion"/>
  </si>
  <si>
    <t>공급가액</t>
    <phoneticPr fontId="9" type="noConversion"/>
  </si>
  <si>
    <t>자</t>
    <phoneticPr fontId="9" type="noConversion"/>
  </si>
  <si>
    <t>지우개</t>
    <phoneticPr fontId="9" type="noConversion"/>
  </si>
  <si>
    <t>3공바인더</t>
    <phoneticPr fontId="9" type="noConversion"/>
  </si>
  <si>
    <t>디스켓</t>
    <phoneticPr fontId="9" type="noConversion"/>
  </si>
  <si>
    <t>비고 :</t>
    <phoneticPr fontId="9" type="noConversion"/>
  </si>
  <si>
    <t>공급가총액</t>
    <phoneticPr fontId="9" type="noConversion"/>
  </si>
  <si>
    <t>세액(부가가치세)</t>
    <phoneticPr fontId="9" type="noConversion"/>
  </si>
  <si>
    <t>합계금액</t>
    <phoneticPr fontId="9" type="noConversion"/>
  </si>
  <si>
    <t>※ 상기 견적 금액은 예고없이 변동될 수도 있습니다.</t>
    <phoneticPr fontId="9" type="noConversion"/>
  </si>
  <si>
    <t xml:space="preserve">※ 유효기간: </t>
    <phoneticPr fontId="9" type="noConversion"/>
  </si>
  <si>
    <t>까지</t>
    <phoneticPr fontId="9" type="noConversion"/>
  </si>
  <si>
    <t>품명</t>
  </si>
  <si>
    <t>규격</t>
  </si>
  <si>
    <t>2공펀치</t>
    <phoneticPr fontId="9" type="noConversion"/>
  </si>
  <si>
    <t>Box</t>
  </si>
  <si>
    <t>3공바인더</t>
    <phoneticPr fontId="9" type="noConversion"/>
  </si>
  <si>
    <t>Box</t>
    <phoneticPr fontId="9" type="noConversion"/>
  </si>
  <si>
    <t>3공펀치</t>
    <phoneticPr fontId="9" type="noConversion"/>
  </si>
  <si>
    <t>가위</t>
    <phoneticPr fontId="9" type="noConversion"/>
  </si>
  <si>
    <t>거울</t>
    <phoneticPr fontId="9" type="noConversion"/>
  </si>
  <si>
    <t>계산기</t>
    <phoneticPr fontId="9" type="noConversion"/>
  </si>
  <si>
    <t>공CD</t>
    <phoneticPr fontId="9" type="noConversion"/>
  </si>
  <si>
    <t>노트</t>
    <phoneticPr fontId="9" type="noConversion"/>
  </si>
  <si>
    <t>디스켓</t>
    <phoneticPr fontId="9" type="noConversion"/>
  </si>
  <si>
    <t>라벨용지</t>
    <phoneticPr fontId="9" type="noConversion"/>
  </si>
  <si>
    <t>명함집</t>
    <phoneticPr fontId="9" type="noConversion"/>
  </si>
  <si>
    <t>개</t>
    <phoneticPr fontId="9" type="noConversion"/>
  </si>
  <si>
    <t>문서함</t>
    <phoneticPr fontId="9" type="noConversion"/>
  </si>
  <si>
    <t>복사용지(A4)</t>
    <phoneticPr fontId="9" type="noConversion"/>
  </si>
  <si>
    <t>볼펜</t>
    <phoneticPr fontId="9" type="noConversion"/>
  </si>
  <si>
    <t>수첩</t>
    <phoneticPr fontId="9" type="noConversion"/>
  </si>
  <si>
    <t>액자</t>
    <phoneticPr fontId="9" type="noConversion"/>
  </si>
  <si>
    <t>자</t>
    <phoneticPr fontId="9" type="noConversion"/>
  </si>
  <si>
    <t>지우개</t>
    <phoneticPr fontId="9" type="noConversion"/>
  </si>
  <si>
    <t>코팅용지</t>
    <phoneticPr fontId="9" type="noConversion"/>
  </si>
  <si>
    <t>테이프</t>
    <phoneticPr fontId="9" type="noConversion"/>
  </si>
  <si>
    <t>가, A, 690-827,770825-2957113, 7B,12345</t>
    <phoneticPr fontId="9" type="noConversion"/>
  </si>
  <si>
    <t>날짜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</si>
</sst>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6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  <numFmt numFmtId="180" formatCode="0_);[Red]\(0\)"/>
    <numFmt numFmtId="181" formatCode="#,##0\ &quot;원&quot;"/>
    <numFmt numFmtId="182" formatCode="#,##0,,"/>
    <numFmt numFmtId="196" formatCode="&quot;₩&quot;#,##0_);[Red]\(&quot;₩&quot;#,##0\)"/>
    <numFmt numFmtId="199" formatCode="0.E+00"/>
    <numFmt numFmtId="200" formatCode="0.00_ "/>
    <numFmt numFmtId="201" formatCode="#,##0_ "/>
    <numFmt numFmtId="202" formatCode="#,##0_);[Red]\(#,##0\)"/>
    <numFmt numFmtId="203" formatCode="#,##0_);\(#,##0\)"/>
    <numFmt numFmtId="204" formatCode="#,##0;[Red]#,##0"/>
    <numFmt numFmtId="205" formatCode="#,##0_ ;[Red]\-#,##0\ "/>
    <numFmt numFmtId="206" formatCode="_-[$$-409]* #,##0.00_ ;_-[$$-409]* \-#,##0.00\ ;_-[$$-409]* &quot;-&quot;??_ ;_-@_ "/>
    <numFmt numFmtId="207" formatCode="_-[$£-809]* #,##0.00_-;\-[$£-809]* #,##0.00_-;_-[$£-809]* &quot;-&quot;??_-;_-@_-"/>
    <numFmt numFmtId="208" formatCode="_-[$€-2]\ * #,##0.00_-;\-[$€-2]\ * #,##0.00_-;_-[$€-2]\ * &quot;-&quot;??_-;_-@_-"/>
    <numFmt numFmtId="209" formatCode="_-[$¥-411]* #,##0.00_-;\-[$¥-411]* #,##0.00_-;_-[$¥-411]* &quot;-&quot;??_-;_-@_-"/>
    <numFmt numFmtId="210" formatCode="_ [$¥-804]* #,##0.00_ ;_ [$¥-804]* \-#,##0.00_ ;_ [$¥-804]* &quot;-&quot;??_ ;_ @_ "/>
    <numFmt numFmtId="211" formatCode="yyyy&quot;년&quot;\ m&quot;월&quot;\ d&quot;일&quot;;@"/>
    <numFmt numFmtId="212" formatCode="yy&quot;年&quot;\ m&quot;月&quot;\ d&quot;日&quot;;@"/>
    <numFmt numFmtId="213" formatCode="yyyy&quot;년&quot;\ m&quot;월&quot;;@"/>
    <numFmt numFmtId="214" formatCode="m&quot;월&quot;\ d&quot;일&quot;;@"/>
    <numFmt numFmtId="215" formatCode="yy&quot;-&quot;m&quot;-&quot;d;@"/>
    <numFmt numFmtId="216" formatCode="000\-000"/>
    <numFmt numFmtId="217" formatCode="[&lt;=999999]####\-####;\(0##\)\ ####\-####"/>
    <numFmt numFmtId="218" formatCode="[&lt;=9999999]###\-####;\(0##\)\ ###\-####"/>
    <numFmt numFmtId="219" formatCode="0_ "/>
    <numFmt numFmtId="220" formatCode="000000\-0000000"/>
    <numFmt numFmtId="221" formatCode="[DBNum1][$-412]General"/>
    <numFmt numFmtId="222" formatCode="[DBNum2][$-412]General"/>
    <numFmt numFmtId="223" formatCode="[DBNum4][$-412]General"/>
    <numFmt numFmtId="224" formatCode="#\ ?/10"/>
    <numFmt numFmtId="225" formatCode="0.000"/>
    <numFmt numFmtId="226" formatCode="0.###"/>
    <numFmt numFmtId="227" formatCode="#.000"/>
    <numFmt numFmtId="228" formatCode="#.###"/>
    <numFmt numFmtId="229" formatCode="0.000_ "/>
    <numFmt numFmtId="230" formatCode="0\ &quot;개&quot;"/>
    <numFmt numFmtId="248" formatCode="???.???"/>
    <numFmt numFmtId="249" formatCode="000"/>
    <numFmt numFmtId="250" formatCode="0\ &quot;BOX&quot;"/>
    <numFmt numFmtId="251" formatCode="#,##0,\ "/>
    <numFmt numFmtId="252" formatCode="#,##0,,,"/>
    <numFmt numFmtId="253" formatCode="???/???"/>
    <numFmt numFmtId="254" formatCode="#,##0*-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돋움"/>
      <family val="2"/>
      <charset val="129"/>
    </font>
    <font>
      <sz val="11"/>
      <color theme="1"/>
      <name val="맑은 고딕"/>
      <family val="3"/>
      <charset val="129"/>
      <scheme val="minor"/>
    </font>
    <font>
      <sz val="8"/>
      <name val="돋움"/>
      <family val="2"/>
      <charset val="129"/>
    </font>
    <font>
      <b/>
      <sz val="11"/>
      <color theme="1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돋움"/>
      <family val="2"/>
      <charset val="129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b/>
      <sz val="9"/>
      <color indexed="81"/>
      <name val="굴림"/>
      <family val="3"/>
      <charset val="129"/>
    </font>
    <font>
      <sz val="9"/>
      <color indexed="81"/>
      <name val="굴림"/>
      <family val="3"/>
      <charset val="129"/>
    </font>
    <font>
      <sz val="14"/>
      <name val="돋움"/>
      <family val="3"/>
      <charset val="129"/>
    </font>
    <font>
      <sz val="13"/>
      <name val="굴림"/>
      <family val="3"/>
      <charset val="129"/>
    </font>
    <font>
      <sz val="13"/>
      <name val="돋움"/>
      <family val="3"/>
      <charset val="129"/>
    </font>
    <font>
      <sz val="14"/>
      <name val="굴림"/>
      <family val="3"/>
      <charset val="129"/>
    </font>
    <font>
      <b/>
      <sz val="14"/>
      <name val="돋움"/>
      <family val="3"/>
      <charset val="129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b/>
      <sz val="20"/>
      <name val="굴림"/>
      <family val="3"/>
      <charset val="129"/>
    </font>
    <font>
      <b/>
      <sz val="26"/>
      <name val="HY견고딕"/>
      <family val="1"/>
      <charset val="129"/>
    </font>
    <font>
      <sz val="9"/>
      <name val="돋움"/>
      <family val="3"/>
      <charset val="129"/>
    </font>
    <font>
      <b/>
      <sz val="18"/>
      <name val="HY목판L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2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/>
      <diagonal/>
    </border>
  </borders>
  <cellStyleXfs count="20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/>
    <xf numFmtId="0" fontId="6" fillId="0" borderId="1" applyNumberFormat="0" applyFill="0" applyAlignment="0" applyProtection="0"/>
    <xf numFmtId="0" fontId="8" fillId="2" borderId="0" applyNumberFormat="0" applyBorder="0" applyAlignment="0" applyProtection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>
      <alignment vertical="center"/>
    </xf>
    <xf numFmtId="42" fontId="3" fillId="0" borderId="0" applyFont="0" applyFill="0" applyBorder="0" applyAlignment="0" applyProtection="0"/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/>
    <xf numFmtId="0" fontId="12" fillId="0" borderId="0"/>
    <xf numFmtId="41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0" fillId="0" borderId="0"/>
  </cellStyleXfs>
  <cellXfs count="231">
    <xf numFmtId="0" fontId="0" fillId="0" borderId="0" xfId="0">
      <alignment vertical="center"/>
    </xf>
    <xf numFmtId="0" fontId="4" fillId="0" borderId="0" xfId="2" applyFont="1"/>
    <xf numFmtId="0" fontId="4" fillId="0" borderId="0" xfId="2" applyFont="1" applyAlignment="1">
      <alignment vertical="center"/>
    </xf>
    <xf numFmtId="180" fontId="4" fillId="0" borderId="6" xfId="2" applyNumberFormat="1" applyFont="1" applyBorder="1" applyAlignment="1">
      <alignment vertical="center"/>
    </xf>
    <xf numFmtId="0" fontId="7" fillId="3" borderId="6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4" fillId="0" borderId="6" xfId="2" applyFont="1" applyBorder="1" applyAlignment="1">
      <alignment vertical="center"/>
    </xf>
    <xf numFmtId="196" fontId="4" fillId="0" borderId="6" xfId="2" applyNumberFormat="1" applyFont="1" applyBorder="1" applyAlignment="1">
      <alignment vertical="center"/>
    </xf>
    <xf numFmtId="42" fontId="4" fillId="0" borderId="6" xfId="2" applyNumberFormat="1" applyFont="1" applyBorder="1" applyAlignment="1">
      <alignment vertical="center"/>
    </xf>
    <xf numFmtId="176" fontId="4" fillId="0" borderId="6" xfId="2" applyNumberFormat="1" applyFont="1" applyBorder="1" applyAlignment="1">
      <alignment vertical="center"/>
    </xf>
    <xf numFmtId="14" fontId="4" fillId="0" borderId="6" xfId="2" applyNumberFormat="1" applyFont="1" applyBorder="1" applyAlignment="1">
      <alignment vertical="center"/>
    </xf>
    <xf numFmtId="9" fontId="4" fillId="0" borderId="6" xfId="2" applyNumberFormat="1" applyFont="1" applyBorder="1" applyAlignment="1">
      <alignment vertical="center"/>
    </xf>
    <xf numFmtId="12" fontId="4" fillId="0" borderId="6" xfId="2" applyNumberFormat="1" applyFont="1" applyBorder="1" applyAlignment="1">
      <alignment vertical="center"/>
    </xf>
    <xf numFmtId="199" fontId="4" fillId="0" borderId="6" xfId="2" applyNumberFormat="1" applyFont="1" applyBorder="1" applyAlignment="1">
      <alignment vertical="center"/>
    </xf>
    <xf numFmtId="49" fontId="4" fillId="0" borderId="6" xfId="2" applyNumberFormat="1" applyFont="1" applyBorder="1" applyAlignment="1">
      <alignment vertical="center"/>
    </xf>
    <xf numFmtId="0" fontId="4" fillId="3" borderId="6" xfId="2" applyFont="1" applyFill="1" applyBorder="1" applyAlignment="1">
      <alignment horizontal="center"/>
    </xf>
    <xf numFmtId="0" fontId="4" fillId="0" borderId="6" xfId="2" applyFont="1" applyBorder="1"/>
    <xf numFmtId="200" fontId="4" fillId="0" borderId="6" xfId="2" applyNumberFormat="1" applyFont="1" applyBorder="1"/>
    <xf numFmtId="201" fontId="4" fillId="0" borderId="6" xfId="2" applyNumberFormat="1" applyFont="1" applyBorder="1"/>
    <xf numFmtId="202" fontId="4" fillId="0" borderId="6" xfId="2" applyNumberFormat="1" applyFont="1" applyBorder="1"/>
    <xf numFmtId="203" fontId="4" fillId="0" borderId="6" xfId="2" applyNumberFormat="1" applyFont="1" applyBorder="1"/>
    <xf numFmtId="204" fontId="4" fillId="0" borderId="6" xfId="2" applyNumberFormat="1" applyFont="1" applyBorder="1"/>
    <xf numFmtId="205" fontId="4" fillId="0" borderId="6" xfId="2" applyNumberFormat="1" applyFont="1" applyBorder="1"/>
    <xf numFmtId="42" fontId="4" fillId="0" borderId="6" xfId="8" applyFont="1" applyBorder="1" applyAlignment="1">
      <alignment vertical="center"/>
    </xf>
    <xf numFmtId="206" fontId="4" fillId="0" borderId="6" xfId="2" applyNumberFormat="1" applyFont="1" applyBorder="1" applyAlignment="1">
      <alignment vertical="center"/>
    </xf>
    <xf numFmtId="207" fontId="4" fillId="0" borderId="6" xfId="2" applyNumberFormat="1" applyFont="1" applyBorder="1" applyAlignment="1">
      <alignment vertical="center"/>
    </xf>
    <xf numFmtId="208" fontId="4" fillId="0" borderId="6" xfId="2" applyNumberFormat="1" applyFont="1" applyBorder="1" applyAlignment="1">
      <alignment vertical="center"/>
    </xf>
    <xf numFmtId="209" fontId="4" fillId="0" borderId="6" xfId="2" applyNumberFormat="1" applyFont="1" applyBorder="1" applyAlignment="1">
      <alignment vertical="center"/>
    </xf>
    <xf numFmtId="210" fontId="4" fillId="0" borderId="6" xfId="2" applyNumberFormat="1" applyFont="1" applyBorder="1" applyAlignment="1">
      <alignment vertical="center"/>
    </xf>
    <xf numFmtId="211" fontId="4" fillId="0" borderId="6" xfId="2" applyNumberFormat="1" applyFont="1" applyBorder="1" applyAlignment="1">
      <alignment vertical="center"/>
    </xf>
    <xf numFmtId="212" fontId="4" fillId="3" borderId="6" xfId="2" applyNumberFormat="1" applyFont="1" applyFill="1" applyBorder="1" applyAlignment="1">
      <alignment horizontal="center" vertical="center"/>
    </xf>
    <xf numFmtId="212" fontId="4" fillId="0" borderId="6" xfId="2" applyNumberFormat="1" applyFont="1" applyBorder="1" applyAlignment="1">
      <alignment vertical="center"/>
    </xf>
    <xf numFmtId="213" fontId="4" fillId="0" borderId="6" xfId="2" applyNumberFormat="1" applyFont="1" applyBorder="1" applyAlignment="1">
      <alignment vertical="center"/>
    </xf>
    <xf numFmtId="214" fontId="4" fillId="0" borderId="6" xfId="2" applyNumberFormat="1" applyFont="1" applyBorder="1" applyAlignment="1">
      <alignment vertical="center"/>
    </xf>
    <xf numFmtId="215" fontId="4" fillId="0" borderId="6" xfId="2" applyNumberFormat="1" applyFont="1" applyBorder="1" applyAlignment="1">
      <alignment vertical="center"/>
    </xf>
    <xf numFmtId="216" fontId="4" fillId="0" borderId="6" xfId="2" applyNumberFormat="1" applyFont="1" applyBorder="1" applyAlignment="1">
      <alignment vertical="center"/>
    </xf>
    <xf numFmtId="217" fontId="4" fillId="0" borderId="6" xfId="2" applyNumberFormat="1" applyFont="1" applyBorder="1" applyAlignment="1">
      <alignment vertical="center"/>
    </xf>
    <xf numFmtId="218" fontId="4" fillId="0" borderId="6" xfId="2" applyNumberFormat="1" applyFont="1" applyBorder="1" applyAlignment="1">
      <alignment vertical="center"/>
    </xf>
    <xf numFmtId="0" fontId="12" fillId="0" borderId="0" xfId="9">
      <alignment vertical="center"/>
    </xf>
    <xf numFmtId="0" fontId="12" fillId="0" borderId="2" xfId="9" applyBorder="1">
      <alignment vertical="center"/>
    </xf>
    <xf numFmtId="0" fontId="12" fillId="0" borderId="2" xfId="9" applyBorder="1" applyAlignment="1">
      <alignment horizontal="left" vertical="center"/>
    </xf>
    <xf numFmtId="0" fontId="12" fillId="0" borderId="12" xfId="9" applyBorder="1" applyAlignment="1">
      <alignment horizontal="center" vertical="center"/>
    </xf>
    <xf numFmtId="0" fontId="12" fillId="0" borderId="2" xfId="9" quotePrefix="1" applyBorder="1">
      <alignment vertical="center"/>
    </xf>
    <xf numFmtId="0" fontId="12" fillId="0" borderId="2" xfId="9" applyBorder="1" applyAlignment="1">
      <alignment horizontal="center" vertical="center"/>
    </xf>
    <xf numFmtId="0" fontId="12" fillId="0" borderId="12" xfId="9" applyBorder="1">
      <alignment vertical="center"/>
    </xf>
    <xf numFmtId="0" fontId="12" fillId="0" borderId="0" xfId="9" applyAlignment="1">
      <alignment horizontal="left" vertical="center"/>
    </xf>
    <xf numFmtId="0" fontId="12" fillId="0" borderId="0" xfId="9" applyAlignment="1">
      <alignment horizontal="center" vertical="center"/>
    </xf>
    <xf numFmtId="211" fontId="12" fillId="0" borderId="2" xfId="9" applyNumberFormat="1" applyBorder="1">
      <alignment vertical="center"/>
    </xf>
    <xf numFmtId="41" fontId="0" fillId="0" borderId="2" xfId="10" applyFont="1" applyBorder="1">
      <alignment vertical="center"/>
    </xf>
    <xf numFmtId="0" fontId="15" fillId="0" borderId="0" xfId="11" applyFont="1" applyAlignment="1">
      <alignment horizontal="center" vertical="center"/>
    </xf>
    <xf numFmtId="0" fontId="15" fillId="0" borderId="0" xfId="11" applyFont="1" applyAlignment="1">
      <alignment horizontal="left" vertical="center"/>
    </xf>
    <xf numFmtId="0" fontId="15" fillId="0" borderId="2" xfId="11" applyFont="1" applyBorder="1" applyAlignment="1">
      <alignment horizontal="center" vertical="center"/>
    </xf>
    <xf numFmtId="49" fontId="15" fillId="0" borderId="2" xfId="11" applyNumberFormat="1" applyFont="1" applyBorder="1" applyAlignment="1">
      <alignment horizontal="center" vertical="center"/>
    </xf>
    <xf numFmtId="0" fontId="15" fillId="0" borderId="2" xfId="11" quotePrefix="1" applyFont="1" applyBorder="1" applyAlignment="1">
      <alignment horizontal="center" vertical="center"/>
    </xf>
    <xf numFmtId="0" fontId="17" fillId="0" borderId="0" xfId="11" applyFont="1" applyAlignment="1">
      <alignment horizontal="center" vertical="center"/>
    </xf>
    <xf numFmtId="0" fontId="18" fillId="0" borderId="0" xfId="11" applyFont="1" applyAlignment="1">
      <alignment horizontal="center" vertical="center"/>
    </xf>
    <xf numFmtId="0" fontId="15" fillId="0" borderId="2" xfId="11" applyFont="1" applyBorder="1" applyAlignment="1">
      <alignment horizontal="left" vertical="center"/>
    </xf>
    <xf numFmtId="224" fontId="15" fillId="0" borderId="0" xfId="11" applyNumberFormat="1" applyFont="1" applyAlignment="1">
      <alignment horizontal="center" vertical="center"/>
    </xf>
    <xf numFmtId="14" fontId="15" fillId="0" borderId="0" xfId="11" applyNumberFormat="1" applyFont="1" applyAlignment="1">
      <alignment horizontal="center" vertical="center"/>
    </xf>
    <xf numFmtId="20" fontId="15" fillId="0" borderId="0" xfId="11" applyNumberFormat="1" applyFont="1" applyAlignment="1">
      <alignment horizontal="center" vertical="center"/>
    </xf>
    <xf numFmtId="41" fontId="15" fillId="0" borderId="0" xfId="10" applyFont="1" applyAlignment="1">
      <alignment horizontal="center" vertical="center"/>
    </xf>
    <xf numFmtId="0" fontId="15" fillId="0" borderId="2" xfId="11" quotePrefix="1" applyFont="1" applyBorder="1" applyAlignment="1">
      <alignment horizontal="left" vertical="center"/>
    </xf>
    <xf numFmtId="220" fontId="15" fillId="0" borderId="0" xfId="11" applyNumberFormat="1" applyFont="1" applyAlignment="1">
      <alignment horizontal="center" vertical="center"/>
    </xf>
    <xf numFmtId="49" fontId="15" fillId="0" borderId="0" xfId="11" applyNumberFormat="1" applyFont="1" applyAlignment="1">
      <alignment horizontal="center" vertical="center"/>
    </xf>
    <xf numFmtId="0" fontId="15" fillId="0" borderId="4" xfId="11" applyFont="1" applyBorder="1" applyAlignment="1">
      <alignment horizontal="left" vertical="center"/>
    </xf>
    <xf numFmtId="0" fontId="15" fillId="0" borderId="4" xfId="11" applyFont="1" applyBorder="1" applyAlignment="1">
      <alignment horizontal="center" vertical="center"/>
    </xf>
    <xf numFmtId="0" fontId="19" fillId="0" borderId="22" xfId="11" applyFont="1" applyBorder="1" applyAlignment="1">
      <alignment horizontal="center" vertical="center"/>
    </xf>
    <xf numFmtId="0" fontId="18" fillId="0" borderId="0" xfId="11" applyFont="1" applyAlignment="1">
      <alignment horizontal="left" vertical="center"/>
    </xf>
    <xf numFmtId="0" fontId="12" fillId="0" borderId="0" xfId="11" applyAlignment="1">
      <alignment horizontal="center" vertical="center"/>
    </xf>
    <xf numFmtId="0" fontId="12" fillId="0" borderId="2" xfId="11" applyBorder="1" applyAlignment="1">
      <alignment horizontal="center" vertical="center"/>
    </xf>
    <xf numFmtId="0" fontId="12" fillId="0" borderId="4" xfId="11" applyBorder="1" applyAlignment="1">
      <alignment horizontal="center" vertical="center"/>
    </xf>
    <xf numFmtId="176" fontId="4" fillId="0" borderId="0" xfId="2" applyNumberFormat="1" applyFont="1" applyAlignment="1">
      <alignment vertical="center"/>
    </xf>
    <xf numFmtId="41" fontId="4" fillId="0" borderId="0" xfId="1" applyFont="1" applyAlignment="1">
      <alignment vertical="center"/>
    </xf>
    <xf numFmtId="14" fontId="12" fillId="0" borderId="0" xfId="9" applyNumberFormat="1">
      <alignment vertical="center"/>
    </xf>
    <xf numFmtId="0" fontId="12" fillId="0" borderId="2" xfId="12" applyBorder="1" applyAlignment="1">
      <alignment horizontal="center" vertical="center"/>
    </xf>
    <xf numFmtId="0" fontId="12" fillId="0" borderId="0" xfId="12" applyAlignment="1">
      <alignment horizontal="center" vertical="center"/>
    </xf>
    <xf numFmtId="0" fontId="12" fillId="0" borderId="4" xfId="12" applyBorder="1" applyAlignment="1">
      <alignment horizontal="center" vertical="center"/>
    </xf>
    <xf numFmtId="41" fontId="12" fillId="0" borderId="4" xfId="13" applyBorder="1" applyAlignment="1">
      <alignment horizontal="center" vertical="center"/>
    </xf>
    <xf numFmtId="41" fontId="12" fillId="0" borderId="2" xfId="13" applyBorder="1" applyAlignment="1">
      <alignment horizontal="center" vertical="center"/>
    </xf>
    <xf numFmtId="0" fontId="12" fillId="0" borderId="0" xfId="11"/>
    <xf numFmtId="0" fontId="12" fillId="0" borderId="22" xfId="11" applyBorder="1" applyAlignment="1">
      <alignment horizontal="center" vertical="center"/>
    </xf>
    <xf numFmtId="249" fontId="12" fillId="0" borderId="4" xfId="11" applyNumberFormat="1" applyBorder="1" applyAlignment="1">
      <alignment horizontal="center" vertical="center"/>
    </xf>
    <xf numFmtId="230" fontId="12" fillId="0" borderId="4" xfId="10" applyNumberFormat="1" applyBorder="1" applyAlignment="1">
      <alignment horizontal="center" vertical="center"/>
    </xf>
    <xf numFmtId="250" fontId="12" fillId="0" borderId="4" xfId="10" applyNumberFormat="1" applyBorder="1" applyAlignment="1">
      <alignment horizontal="center" vertical="center"/>
    </xf>
    <xf numFmtId="181" fontId="12" fillId="0" borderId="4" xfId="10" applyNumberFormat="1" applyBorder="1" applyAlignment="1">
      <alignment horizontal="center" vertical="center"/>
    </xf>
    <xf numFmtId="251" fontId="12" fillId="0" borderId="4" xfId="10" applyNumberFormat="1" applyBorder="1" applyAlignment="1">
      <alignment horizontal="right" vertical="center"/>
    </xf>
    <xf numFmtId="182" fontId="12" fillId="0" borderId="4" xfId="10" applyNumberFormat="1" applyBorder="1" applyAlignment="1">
      <alignment horizontal="right" vertical="center"/>
    </xf>
    <xf numFmtId="252" fontId="12" fillId="0" borderId="4" xfId="10" applyNumberFormat="1" applyBorder="1" applyAlignment="1">
      <alignment horizontal="right"/>
    </xf>
    <xf numFmtId="248" fontId="12" fillId="0" borderId="4" xfId="10" applyNumberFormat="1" applyBorder="1" applyAlignment="1">
      <alignment horizontal="right" vertical="center"/>
    </xf>
    <xf numFmtId="253" fontId="12" fillId="0" borderId="4" xfId="11" applyNumberFormat="1" applyBorder="1"/>
    <xf numFmtId="254" fontId="12" fillId="0" borderId="4" xfId="11" applyNumberFormat="1" applyBorder="1"/>
    <xf numFmtId="230" fontId="12" fillId="0" borderId="2" xfId="10" applyNumberFormat="1" applyBorder="1" applyAlignment="1">
      <alignment horizontal="center" vertical="center"/>
    </xf>
    <xf numFmtId="250" fontId="12" fillId="0" borderId="2" xfId="10" applyNumberFormat="1" applyBorder="1" applyAlignment="1">
      <alignment horizontal="center" vertical="center"/>
    </xf>
    <xf numFmtId="181" fontId="12" fillId="0" borderId="2" xfId="10" applyNumberFormat="1" applyBorder="1" applyAlignment="1">
      <alignment horizontal="center" vertical="center"/>
    </xf>
    <xf numFmtId="251" fontId="12" fillId="0" borderId="2" xfId="10" applyNumberFormat="1" applyBorder="1" applyAlignment="1">
      <alignment horizontal="right" vertical="center"/>
    </xf>
    <xf numFmtId="182" fontId="12" fillId="0" borderId="2" xfId="10" applyNumberFormat="1" applyBorder="1" applyAlignment="1">
      <alignment horizontal="right" vertical="center"/>
    </xf>
    <xf numFmtId="252" fontId="12" fillId="0" borderId="2" xfId="10" applyNumberFormat="1" applyBorder="1" applyAlignment="1">
      <alignment horizontal="right"/>
    </xf>
    <xf numFmtId="248" fontId="12" fillId="0" borderId="2" xfId="10" applyNumberFormat="1" applyBorder="1" applyAlignment="1">
      <alignment horizontal="right" vertical="center"/>
    </xf>
    <xf numFmtId="253" fontId="12" fillId="0" borderId="2" xfId="11" applyNumberFormat="1" applyBorder="1"/>
    <xf numFmtId="254" fontId="12" fillId="0" borderId="2" xfId="11" applyNumberFormat="1" applyBorder="1"/>
    <xf numFmtId="41" fontId="12" fillId="0" borderId="4" xfId="10" applyBorder="1" applyAlignment="1">
      <alignment horizontal="center" vertical="center"/>
    </xf>
    <xf numFmtId="0" fontId="12" fillId="0" borderId="4" xfId="11" applyBorder="1"/>
    <xf numFmtId="41" fontId="12" fillId="0" borderId="2" xfId="10" applyBorder="1" applyAlignment="1">
      <alignment horizontal="center" vertical="center"/>
    </xf>
    <xf numFmtId="0" fontId="12" fillId="0" borderId="2" xfId="11" applyBorder="1"/>
    <xf numFmtId="0" fontId="12" fillId="0" borderId="22" xfId="11" applyBorder="1" applyAlignment="1">
      <alignment horizontal="center"/>
    </xf>
    <xf numFmtId="229" fontId="12" fillId="0" borderId="22" xfId="11" applyNumberFormat="1" applyBorder="1" applyAlignment="1">
      <alignment horizontal="center"/>
    </xf>
    <xf numFmtId="0" fontId="12" fillId="0" borderId="0" xfId="11" applyAlignment="1">
      <alignment horizontal="center"/>
    </xf>
    <xf numFmtId="41" fontId="12" fillId="0" borderId="0" xfId="10" applyAlignment="1"/>
    <xf numFmtId="228" fontId="12" fillId="0" borderId="4" xfId="11" applyNumberFormat="1" applyBorder="1" applyAlignment="1">
      <alignment horizontal="center" vertical="center"/>
    </xf>
    <xf numFmtId="227" fontId="12" fillId="0" borderId="4" xfId="11" applyNumberFormat="1" applyBorder="1" applyAlignment="1">
      <alignment horizontal="center" vertical="center"/>
    </xf>
    <xf numFmtId="226" fontId="12" fillId="0" borderId="4" xfId="11" applyNumberFormat="1" applyBorder="1" applyAlignment="1">
      <alignment horizontal="center" vertical="center"/>
    </xf>
    <xf numFmtId="225" fontId="12" fillId="0" borderId="4" xfId="11" applyNumberFormat="1" applyBorder="1" applyAlignment="1">
      <alignment horizontal="center" vertical="center"/>
    </xf>
    <xf numFmtId="228" fontId="12" fillId="0" borderId="2" xfId="11" applyNumberFormat="1" applyBorder="1" applyAlignment="1">
      <alignment horizontal="center" vertical="center"/>
    </xf>
    <xf numFmtId="227" fontId="12" fillId="0" borderId="2" xfId="11" applyNumberFormat="1" applyBorder="1" applyAlignment="1">
      <alignment horizontal="center" vertical="center"/>
    </xf>
    <xf numFmtId="226" fontId="12" fillId="0" borderId="2" xfId="11" applyNumberFormat="1" applyBorder="1" applyAlignment="1">
      <alignment horizontal="center" vertical="center"/>
    </xf>
    <xf numFmtId="225" fontId="12" fillId="0" borderId="2" xfId="11" applyNumberFormat="1" applyBorder="1" applyAlignment="1">
      <alignment horizontal="center" vertical="center"/>
    </xf>
    <xf numFmtId="200" fontId="12" fillId="0" borderId="2" xfId="11" applyNumberFormat="1" applyBorder="1" applyAlignment="1">
      <alignment horizontal="center" vertical="center"/>
    </xf>
    <xf numFmtId="0" fontId="12" fillId="0" borderId="0" xfId="18">
      <alignment vertical="center"/>
    </xf>
    <xf numFmtId="9" fontId="12" fillId="4" borderId="2" xfId="18" applyNumberFormat="1" applyFill="1" applyBorder="1" applyAlignment="1">
      <alignment horizontal="center"/>
    </xf>
    <xf numFmtId="0" fontId="12" fillId="0" borderId="2" xfId="18" applyBorder="1" applyAlignment="1">
      <alignment horizontal="center"/>
    </xf>
    <xf numFmtId="0" fontId="12" fillId="0" borderId="0" xfId="18" applyAlignment="1">
      <alignment horizontal="center"/>
    </xf>
    <xf numFmtId="41" fontId="12" fillId="4" borderId="2" xfId="13" applyFill="1" applyBorder="1"/>
    <xf numFmtId="41" fontId="12" fillId="0" borderId="2" xfId="13" applyFont="1" applyBorder="1"/>
    <xf numFmtId="219" fontId="12" fillId="0" borderId="27" xfId="18" applyNumberFormat="1" applyBorder="1">
      <alignment vertical="center"/>
    </xf>
    <xf numFmtId="0" fontId="12" fillId="0" borderId="27" xfId="18" applyBorder="1">
      <alignment vertical="center"/>
    </xf>
    <xf numFmtId="0" fontId="12" fillId="0" borderId="27" xfId="18" applyBorder="1" applyAlignment="1">
      <alignment horizontal="center"/>
    </xf>
    <xf numFmtId="41" fontId="12" fillId="0" borderId="2" xfId="13" applyBorder="1" applyAlignment="1">
      <alignment horizontal="right"/>
    </xf>
    <xf numFmtId="41" fontId="12" fillId="0" borderId="2" xfId="13" applyBorder="1"/>
    <xf numFmtId="41" fontId="12" fillId="0" borderId="2" xfId="18" applyNumberFormat="1" applyBorder="1">
      <alignment vertical="center"/>
    </xf>
    <xf numFmtId="41" fontId="12" fillId="0" borderId="2" xfId="18" applyNumberFormat="1" applyBorder="1" applyAlignment="1">
      <alignment horizontal="center"/>
    </xf>
    <xf numFmtId="0" fontId="12" fillId="0" borderId="2" xfId="18" applyBorder="1" applyAlignment="1">
      <alignment horizontal="center" vertical="center"/>
    </xf>
    <xf numFmtId="0" fontId="12" fillId="0" borderId="2" xfId="18" applyBorder="1" applyAlignment="1">
      <alignment horizontal="center" vertical="center" wrapText="1"/>
    </xf>
    <xf numFmtId="41" fontId="12" fillId="0" borderId="0" xfId="13" applyFont="1" applyBorder="1"/>
    <xf numFmtId="0" fontId="21" fillId="0" borderId="22" xfId="12" applyFont="1" applyBorder="1" applyAlignment="1">
      <alignment horizontal="center" vertical="center"/>
    </xf>
    <xf numFmtId="42" fontId="12" fillId="0" borderId="4" xfId="14" applyBorder="1" applyAlignment="1">
      <alignment horizontal="center" vertical="center"/>
    </xf>
    <xf numFmtId="42" fontId="12" fillId="0" borderId="2" xfId="14" applyBorder="1" applyAlignment="1">
      <alignment horizontal="center" vertical="center"/>
    </xf>
    <xf numFmtId="0" fontId="12" fillId="0" borderId="0" xfId="17">
      <alignment vertical="center"/>
    </xf>
    <xf numFmtId="0" fontId="12" fillId="0" borderId="15" xfId="17" applyBorder="1" applyAlignment="1">
      <alignment horizontal="center" vertical="center"/>
    </xf>
    <xf numFmtId="0" fontId="24" fillId="0" borderId="2" xfId="17" applyFont="1" applyBorder="1" applyAlignment="1">
      <alignment horizontal="center" vertical="center" wrapText="1"/>
    </xf>
    <xf numFmtId="0" fontId="12" fillId="0" borderId="2" xfId="17" applyBorder="1" applyAlignment="1">
      <alignment horizontal="center" vertical="center"/>
    </xf>
    <xf numFmtId="0" fontId="12" fillId="0" borderId="13" xfId="17" applyBorder="1" applyAlignment="1">
      <alignment horizontal="center" vertical="center"/>
    </xf>
    <xf numFmtId="223" fontId="20" fillId="0" borderId="0" xfId="17" applyNumberFormat="1" applyFont="1" applyAlignment="1">
      <alignment horizontal="center" vertical="center"/>
    </xf>
    <xf numFmtId="0" fontId="12" fillId="0" borderId="3" xfId="17" applyBorder="1" applyAlignment="1">
      <alignment horizontal="center" vertical="center"/>
    </xf>
    <xf numFmtId="0" fontId="20" fillId="0" borderId="29" xfId="17" applyFont="1" applyBorder="1" applyAlignment="1">
      <alignment horizontal="center" vertical="center"/>
    </xf>
    <xf numFmtId="0" fontId="20" fillId="0" borderId="30" xfId="17" applyFont="1" applyBorder="1" applyAlignment="1">
      <alignment horizontal="center" vertical="center"/>
    </xf>
    <xf numFmtId="0" fontId="12" fillId="0" borderId="32" xfId="17" applyBorder="1" applyAlignment="1">
      <alignment horizontal="center" vertical="center"/>
    </xf>
    <xf numFmtId="0" fontId="12" fillId="0" borderId="4" xfId="17" applyBorder="1">
      <alignment vertical="center"/>
    </xf>
    <xf numFmtId="41" fontId="12" fillId="0" borderId="4" xfId="13" applyBorder="1" applyAlignment="1">
      <alignment vertical="center"/>
    </xf>
    <xf numFmtId="0" fontId="12" fillId="0" borderId="14" xfId="17" applyBorder="1" applyAlignment="1">
      <alignment horizontal="center" vertical="center"/>
    </xf>
    <xf numFmtId="0" fontId="12" fillId="0" borderId="2" xfId="17" applyBorder="1">
      <alignment vertical="center"/>
    </xf>
    <xf numFmtId="41" fontId="12" fillId="0" borderId="2" xfId="13" applyBorder="1" applyAlignment="1">
      <alignment vertical="center"/>
    </xf>
    <xf numFmtId="41" fontId="12" fillId="0" borderId="2" xfId="13" applyFont="1" applyBorder="1" applyAlignment="1">
      <alignment vertical="center"/>
    </xf>
    <xf numFmtId="0" fontId="12" fillId="0" borderId="34" xfId="17" applyBorder="1" applyAlignment="1">
      <alignment horizontal="center" vertical="center"/>
    </xf>
    <xf numFmtId="0" fontId="12" fillId="0" borderId="22" xfId="17" applyBorder="1">
      <alignment vertical="center"/>
    </xf>
    <xf numFmtId="41" fontId="12" fillId="0" borderId="22" xfId="13" applyBorder="1" applyAlignment="1">
      <alignment vertical="center"/>
    </xf>
    <xf numFmtId="0" fontId="12" fillId="0" borderId="37" xfId="17" applyBorder="1" applyAlignment="1">
      <alignment horizontal="center" vertical="center"/>
    </xf>
    <xf numFmtId="0" fontId="12" fillId="0" borderId="38" xfId="17" applyBorder="1">
      <alignment vertical="center"/>
    </xf>
    <xf numFmtId="0" fontId="12" fillId="0" borderId="23" xfId="17" applyBorder="1">
      <alignment vertical="center"/>
    </xf>
    <xf numFmtId="0" fontId="12" fillId="0" borderId="8" xfId="17" applyBorder="1">
      <alignment vertical="center"/>
    </xf>
    <xf numFmtId="0" fontId="12" fillId="0" borderId="24" xfId="17" applyBorder="1">
      <alignment vertical="center"/>
    </xf>
    <xf numFmtId="0" fontId="12" fillId="0" borderId="39" xfId="17" applyBorder="1">
      <alignment vertical="center"/>
    </xf>
    <xf numFmtId="211" fontId="12" fillId="0" borderId="0" xfId="17" applyNumberFormat="1">
      <alignment vertical="center"/>
    </xf>
    <xf numFmtId="0" fontId="12" fillId="0" borderId="0" xfId="17" applyAlignment="1">
      <alignment horizontal="center" vertical="center"/>
    </xf>
    <xf numFmtId="0" fontId="24" fillId="0" borderId="0" xfId="17" applyFont="1" applyAlignment="1">
      <alignment horizontal="center" vertical="center" wrapText="1"/>
    </xf>
    <xf numFmtId="0" fontId="12" fillId="0" borderId="17" xfId="17" applyBorder="1" applyAlignment="1">
      <alignment horizontal="center" vertical="center"/>
    </xf>
    <xf numFmtId="0" fontId="20" fillId="0" borderId="40" xfId="17" applyFont="1" applyBorder="1" applyAlignment="1">
      <alignment horizontal="center" vertical="center"/>
    </xf>
    <xf numFmtId="0" fontId="12" fillId="0" borderId="4" xfId="17" applyBorder="1" applyAlignment="1">
      <alignment horizontal="center" vertical="center"/>
    </xf>
    <xf numFmtId="0" fontId="12" fillId="0" borderId="22" xfId="17" applyBorder="1" applyAlignment="1">
      <alignment horizontal="center" vertical="center"/>
    </xf>
    <xf numFmtId="41" fontId="12" fillId="0" borderId="22" xfId="13" applyBorder="1" applyAlignment="1">
      <alignment horizontal="center" vertical="center"/>
    </xf>
    <xf numFmtId="42" fontId="12" fillId="0" borderId="10" xfId="14" applyBorder="1" applyAlignment="1">
      <alignment horizontal="center" vertical="center"/>
    </xf>
    <xf numFmtId="41" fontId="12" fillId="0" borderId="0" xfId="13" applyAlignment="1">
      <alignment vertical="center"/>
    </xf>
    <xf numFmtId="0" fontId="12" fillId="0" borderId="0" xfId="1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6" fillId="0" borderId="0" xfId="11" applyFont="1" applyAlignment="1">
      <alignment horizontal="left" vertical="center"/>
    </xf>
    <xf numFmtId="0" fontId="15" fillId="0" borderId="0" xfId="11" applyFont="1" applyAlignment="1">
      <alignment horizontal="left" vertical="center"/>
    </xf>
    <xf numFmtId="0" fontId="4" fillId="3" borderId="20" xfId="2" applyFont="1" applyFill="1" applyBorder="1" applyAlignment="1">
      <alignment horizontal="center" vertical="center" wrapText="1"/>
    </xf>
    <xf numFmtId="0" fontId="4" fillId="3" borderId="2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0" borderId="20" xfId="2" applyFont="1" applyBorder="1" applyAlignment="1">
      <alignment horizontal="right" vertical="center"/>
    </xf>
    <xf numFmtId="0" fontId="4" fillId="0" borderId="21" xfId="2" applyFont="1" applyBorder="1" applyAlignment="1">
      <alignment horizontal="right" vertical="center"/>
    </xf>
    <xf numFmtId="0" fontId="4" fillId="0" borderId="9" xfId="2" applyFont="1" applyBorder="1" applyAlignment="1">
      <alignment horizontal="right" vertical="center"/>
    </xf>
    <xf numFmtId="0" fontId="12" fillId="0" borderId="0" xfId="18" applyAlignment="1">
      <alignment horizontal="center"/>
    </xf>
    <xf numFmtId="0" fontId="12" fillId="0" borderId="12" xfId="18" applyBorder="1" applyAlignment="1">
      <alignment horizontal="center"/>
    </xf>
    <xf numFmtId="0" fontId="12" fillId="0" borderId="5" xfId="18" applyBorder="1" applyAlignment="1">
      <alignment horizontal="center"/>
    </xf>
    <xf numFmtId="0" fontId="22" fillId="0" borderId="0" xfId="12" applyFont="1" applyAlignment="1">
      <alignment horizontal="center" vertical="center"/>
    </xf>
    <xf numFmtId="0" fontId="23" fillId="0" borderId="0" xfId="17" applyFont="1" applyAlignment="1">
      <alignment horizontal="center" vertical="center"/>
    </xf>
    <xf numFmtId="211" fontId="12" fillId="0" borderId="0" xfId="17" applyNumberFormat="1" applyAlignment="1">
      <alignment horizontal="center" vertical="center"/>
    </xf>
    <xf numFmtId="0" fontId="12" fillId="0" borderId="25" xfId="17" applyBorder="1" applyAlignment="1">
      <alignment horizontal="center" vertical="center" textRotation="255"/>
    </xf>
    <xf numFmtId="0" fontId="12" fillId="0" borderId="18" xfId="17" applyBorder="1" applyAlignment="1">
      <alignment horizontal="center" vertical="center" textRotation="255"/>
    </xf>
    <xf numFmtId="0" fontId="12" fillId="0" borderId="19" xfId="17" applyBorder="1" applyAlignment="1">
      <alignment horizontal="center" vertical="center" textRotation="255"/>
    </xf>
    <xf numFmtId="0" fontId="12" fillId="0" borderId="15" xfId="17" applyBorder="1" applyAlignment="1">
      <alignment horizontal="center" vertical="center"/>
    </xf>
    <xf numFmtId="0" fontId="12" fillId="0" borderId="16" xfId="17" applyBorder="1" applyAlignment="1">
      <alignment horizontal="center" vertical="center"/>
    </xf>
    <xf numFmtId="0" fontId="12" fillId="0" borderId="0" xfId="17" applyAlignment="1">
      <alignment horizontal="center" vertical="center"/>
    </xf>
    <xf numFmtId="0" fontId="20" fillId="0" borderId="7" xfId="17" applyFont="1" applyBorder="1" applyAlignment="1">
      <alignment horizontal="center" vertical="center"/>
    </xf>
    <xf numFmtId="0" fontId="12" fillId="0" borderId="2" xfId="17" applyBorder="1" applyAlignment="1">
      <alignment horizontal="center" vertical="center"/>
    </xf>
    <xf numFmtId="0" fontId="12" fillId="0" borderId="13" xfId="17" applyBorder="1" applyAlignment="1">
      <alignment horizontal="center" vertical="center"/>
    </xf>
    <xf numFmtId="218" fontId="12" fillId="0" borderId="3" xfId="17" applyNumberFormat="1" applyBorder="1" applyAlignment="1">
      <alignment horizontal="center" vertical="center"/>
    </xf>
    <xf numFmtId="218" fontId="12" fillId="0" borderId="28" xfId="17" applyNumberFormat="1" applyBorder="1" applyAlignment="1">
      <alignment horizontal="center" vertical="center"/>
    </xf>
    <xf numFmtId="0" fontId="20" fillId="0" borderId="30" xfId="17" applyFont="1" applyBorder="1" applyAlignment="1">
      <alignment horizontal="center" vertical="center"/>
    </xf>
    <xf numFmtId="0" fontId="20" fillId="0" borderId="31" xfId="17" applyFont="1" applyBorder="1" applyAlignment="1">
      <alignment horizontal="center" vertical="center"/>
    </xf>
    <xf numFmtId="0" fontId="12" fillId="0" borderId="4" xfId="17" applyBorder="1" applyAlignment="1">
      <alignment horizontal="center" vertical="center"/>
    </xf>
    <xf numFmtId="41" fontId="12" fillId="0" borderId="4" xfId="13" applyBorder="1" applyAlignment="1">
      <alignment horizontal="center" vertical="center"/>
    </xf>
    <xf numFmtId="41" fontId="12" fillId="0" borderId="33" xfId="13" applyBorder="1" applyAlignment="1">
      <alignment horizontal="center" vertical="center"/>
    </xf>
    <xf numFmtId="41" fontId="12" fillId="0" borderId="12" xfId="13" applyBorder="1" applyAlignment="1">
      <alignment horizontal="center" vertical="center"/>
    </xf>
    <xf numFmtId="41" fontId="12" fillId="0" borderId="26" xfId="13" applyBorder="1" applyAlignment="1">
      <alignment horizontal="center" vertical="center"/>
    </xf>
    <xf numFmtId="0" fontId="12" fillId="0" borderId="22" xfId="17" applyBorder="1" applyAlignment="1">
      <alignment horizontal="center" vertical="center"/>
    </xf>
    <xf numFmtId="41" fontId="12" fillId="0" borderId="35" xfId="13" applyBorder="1" applyAlignment="1">
      <alignment horizontal="center" vertical="center"/>
    </xf>
    <xf numFmtId="41" fontId="12" fillId="0" borderId="36" xfId="13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12" fillId="0" borderId="4" xfId="17" applyBorder="1" applyAlignment="1">
      <alignment horizontal="distributed" vertical="center"/>
    </xf>
    <xf numFmtId="42" fontId="12" fillId="0" borderId="4" xfId="14" applyBorder="1" applyAlignment="1">
      <alignment horizontal="center" vertical="center"/>
    </xf>
    <xf numFmtId="42" fontId="12" fillId="0" borderId="33" xfId="14" applyBorder="1" applyAlignment="1">
      <alignment horizontal="center" vertical="center"/>
    </xf>
    <xf numFmtId="0" fontId="12" fillId="0" borderId="2" xfId="17" applyBorder="1" applyAlignment="1">
      <alignment horizontal="distributed" vertical="center"/>
    </xf>
    <xf numFmtId="42" fontId="12" fillId="0" borderId="2" xfId="14" applyBorder="1" applyAlignment="1">
      <alignment horizontal="center" vertical="center"/>
    </xf>
    <xf numFmtId="42" fontId="12" fillId="0" borderId="13" xfId="14" applyBorder="1" applyAlignment="1">
      <alignment horizontal="center" vertical="center"/>
    </xf>
    <xf numFmtId="0" fontId="12" fillId="0" borderId="10" xfId="17" applyBorder="1" applyAlignment="1">
      <alignment horizontal="distributed" vertical="center"/>
    </xf>
    <xf numFmtId="42" fontId="12" fillId="0" borderId="10" xfId="14" applyBorder="1" applyAlignment="1">
      <alignment horizontal="center" vertical="center"/>
    </xf>
    <xf numFmtId="42" fontId="12" fillId="0" borderId="11" xfId="14" applyBorder="1" applyAlignment="1">
      <alignment horizontal="center" vertical="center"/>
    </xf>
    <xf numFmtId="218" fontId="12" fillId="0" borderId="17" xfId="17" applyNumberFormat="1" applyBorder="1" applyAlignment="1">
      <alignment horizontal="center" vertical="center"/>
    </xf>
    <xf numFmtId="0" fontId="4" fillId="3" borderId="20" xfId="2" applyFont="1" applyFill="1" applyBorder="1" applyAlignment="1">
      <alignment horizontal="center" vertical="center"/>
    </xf>
    <xf numFmtId="219" fontId="4" fillId="0" borderId="20" xfId="2" applyNumberFormat="1" applyFont="1" applyBorder="1" applyAlignment="1">
      <alignment vertical="center"/>
    </xf>
    <xf numFmtId="220" fontId="4" fillId="0" borderId="20" xfId="2" applyNumberFormat="1" applyFont="1" applyBorder="1" applyAlignment="1">
      <alignment vertical="center"/>
    </xf>
    <xf numFmtId="0" fontId="4" fillId="0" borderId="0" xfId="2" applyFont="1" applyFill="1" applyBorder="1" applyAlignment="1">
      <alignment horizontal="center" vertical="center"/>
    </xf>
    <xf numFmtId="180" fontId="4" fillId="0" borderId="0" xfId="2" applyNumberFormat="1" applyFont="1" applyFill="1" applyBorder="1" applyAlignment="1">
      <alignment vertical="center"/>
    </xf>
    <xf numFmtId="0" fontId="4" fillId="0" borderId="0" xfId="2" applyFont="1" applyFill="1" applyBorder="1"/>
    <xf numFmtId="222" fontId="4" fillId="0" borderId="0" xfId="2" applyNumberFormat="1" applyFont="1" applyFill="1" applyBorder="1" applyAlignment="1">
      <alignment vertical="center"/>
    </xf>
    <xf numFmtId="223" fontId="4" fillId="0" borderId="0" xfId="2" applyNumberFormat="1" applyFont="1" applyFill="1" applyBorder="1" applyAlignment="1">
      <alignment vertical="center"/>
    </xf>
    <xf numFmtId="0" fontId="4" fillId="0" borderId="0" xfId="2" applyFont="1" applyFill="1"/>
    <xf numFmtId="0" fontId="4" fillId="0" borderId="41" xfId="2" applyFont="1" applyFill="1" applyBorder="1" applyAlignment="1">
      <alignment horizontal="center" vertical="center"/>
    </xf>
    <xf numFmtId="180" fontId="4" fillId="0" borderId="41" xfId="2" applyNumberFormat="1" applyFont="1" applyFill="1" applyBorder="1" applyAlignment="1">
      <alignment vertical="center"/>
    </xf>
    <xf numFmtId="221" fontId="4" fillId="0" borderId="41" xfId="2" applyNumberFormat="1" applyFont="1" applyFill="1" applyBorder="1" applyAlignment="1">
      <alignment vertical="center"/>
    </xf>
  </cellXfs>
  <cellStyles count="20">
    <cellStyle name="60% - 강조색1 2" xfId="4" xr:uid="{00000000-0005-0000-0000-000000000000}"/>
    <cellStyle name="백분율 2" xfId="6" xr:uid="{00000000-0005-0000-0000-000005000000}"/>
    <cellStyle name="백분율 3" xfId="15" xr:uid="{00000000-0005-0000-0000-000006000000}"/>
    <cellStyle name="백분율 4" xfId="16" xr:uid="{00000000-0005-0000-0000-000007000000}"/>
    <cellStyle name="쉼표 [0]" xfId="1" builtinId="6"/>
    <cellStyle name="쉼표 [0] 2" xfId="5" xr:uid="{00000000-0005-0000-0000-000009000000}"/>
    <cellStyle name="쉼표 [0] 3" xfId="10" xr:uid="{00000000-0005-0000-0000-00000A000000}"/>
    <cellStyle name="쉼표 [0] 4" xfId="13" xr:uid="{00000000-0005-0000-0000-00000B000000}"/>
    <cellStyle name="요약 2" xfId="3" xr:uid="{00000000-0005-0000-0000-00000C000000}"/>
    <cellStyle name="통화 [0] 2" xfId="8" xr:uid="{00000000-0005-0000-0000-00000E000000}"/>
    <cellStyle name="통화 [0] 3" xfId="14" xr:uid="{00000000-0005-0000-0000-00000F000000}"/>
    <cellStyle name="표준" xfId="0" builtinId="0"/>
    <cellStyle name="표준 2" xfId="2" xr:uid="{00000000-0005-0000-0000-000011000000}"/>
    <cellStyle name="표준 2 2" xfId="19" xr:uid="{00000000-0005-0000-0000-000012000000}"/>
    <cellStyle name="표준 3" xfId="7" xr:uid="{00000000-0005-0000-0000-000013000000}"/>
    <cellStyle name="표준 4" xfId="9" xr:uid="{00000000-0005-0000-0000-000014000000}"/>
    <cellStyle name="표준 5" xfId="12" xr:uid="{00000000-0005-0000-0000-000015000000}"/>
    <cellStyle name="표준_080414_엑셀중급" xfId="11" xr:uid="{00000000-0005-0000-0000-000016000000}"/>
    <cellStyle name="표준_견적서만들기" xfId="17" xr:uid="{00000000-0005-0000-0000-000019000000}"/>
    <cellStyle name="표준_분석작업" xfId="18" xr:uid="{00000000-0005-0000-0000-00001A000000}"/>
  </cellStyles>
  <dxfs count="1">
    <dxf>
      <font>
        <b val="0"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53;&#51032;&#51088;&#47308;\110523_&#50900;&#54217;&#4604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엑셀데이터"/>
      <sheetName val="특수문자입력법"/>
      <sheetName val="표시형식"/>
      <sheetName val="사용자지정"/>
      <sheetName val="날짜서식"/>
      <sheetName val="선택하여붙여넣기"/>
      <sheetName val="유효성검사1"/>
      <sheetName val="유효성검사2"/>
      <sheetName val="재직증명서예시"/>
      <sheetName val="재직증명서"/>
      <sheetName val="사원명부"/>
      <sheetName val="주민번호"/>
      <sheetName val="조건부서식1"/>
      <sheetName val="조건부서식2"/>
      <sheetName val="함수정리"/>
      <sheetName val="함수사용예"/>
      <sheetName val="상대참조"/>
      <sheetName val="절대참조"/>
      <sheetName val="혼합참조"/>
      <sheetName val="성적산출"/>
      <sheetName val="함수1"/>
      <sheetName val="함수2"/>
      <sheetName val="표1"/>
      <sheetName val="표2"/>
      <sheetName val="통합1"/>
      <sheetName val="통합2"/>
      <sheetName val="통합3"/>
      <sheetName val="정렬"/>
      <sheetName val="정렬2"/>
      <sheetName val="고급필터"/>
      <sheetName val="피벗1"/>
      <sheetName val="피벗2"/>
      <sheetName val="차트1"/>
      <sheetName val="차트2"/>
      <sheetName val="미리보기"/>
      <sheetName val="D함수"/>
      <sheetName val="카메라"/>
      <sheetName val="견적서예시"/>
      <sheetName val="견적서"/>
      <sheetName val="제품목록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KR-001</v>
          </cell>
        </row>
        <row r="3">
          <cell r="A3" t="str">
            <v>KR-002</v>
          </cell>
        </row>
        <row r="4">
          <cell r="A4" t="str">
            <v>KR-003</v>
          </cell>
        </row>
        <row r="5">
          <cell r="A5" t="str">
            <v>KR-004</v>
          </cell>
        </row>
        <row r="6">
          <cell r="A6" t="str">
            <v>KR-005</v>
          </cell>
        </row>
        <row r="7">
          <cell r="A7" t="str">
            <v>KR-006</v>
          </cell>
        </row>
        <row r="8">
          <cell r="A8" t="str">
            <v>KR-007</v>
          </cell>
        </row>
        <row r="9">
          <cell r="A9" t="str">
            <v>KR-008</v>
          </cell>
        </row>
        <row r="10">
          <cell r="A10" t="str">
            <v>KR-009</v>
          </cell>
        </row>
        <row r="11">
          <cell r="A11" t="str">
            <v>KR-010</v>
          </cell>
        </row>
        <row r="12">
          <cell r="A12" t="str">
            <v>KR-011</v>
          </cell>
        </row>
        <row r="13">
          <cell r="A13" t="str">
            <v>KR-012</v>
          </cell>
        </row>
        <row r="14">
          <cell r="A14" t="str">
            <v>KR-013</v>
          </cell>
        </row>
        <row r="15">
          <cell r="A15" t="str">
            <v>KR-014</v>
          </cell>
        </row>
        <row r="16">
          <cell r="A16" t="str">
            <v>KR-015</v>
          </cell>
        </row>
        <row r="17">
          <cell r="A17" t="str">
            <v>KR-016</v>
          </cell>
        </row>
        <row r="18">
          <cell r="A18" t="str">
            <v>KR-017</v>
          </cell>
        </row>
        <row r="19">
          <cell r="A19" t="str">
            <v>KR-018</v>
          </cell>
        </row>
        <row r="20">
          <cell r="A20" t="str">
            <v>KR-019</v>
          </cell>
        </row>
        <row r="21">
          <cell r="A21" t="str">
            <v>KR-020</v>
          </cell>
        </row>
        <row r="22">
          <cell r="A22" t="str">
            <v>KR-021</v>
          </cell>
        </row>
        <row r="23">
          <cell r="A23" t="str">
            <v>KR-022</v>
          </cell>
        </row>
        <row r="24">
          <cell r="A24" t="str">
            <v>KR-023</v>
          </cell>
        </row>
        <row r="25">
          <cell r="A25" t="str">
            <v>KR-024</v>
          </cell>
        </row>
        <row r="26">
          <cell r="A26" t="str">
            <v>KR-025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6"/>
  <sheetViews>
    <sheetView workbookViewId="0">
      <selection activeCell="F30" sqref="F30"/>
    </sheetView>
  </sheetViews>
  <sheetFormatPr defaultColWidth="9" defaultRowHeight="14"/>
  <cols>
    <col min="1" max="2" width="3.1640625" style="38" customWidth="1"/>
    <col min="3" max="3" width="27.08203125" style="38" customWidth="1"/>
    <col min="4" max="4" width="41.58203125" style="38" customWidth="1"/>
    <col min="5" max="5" width="3.6640625" style="38" customWidth="1"/>
    <col min="6" max="16384" width="9" style="38"/>
  </cols>
  <sheetData>
    <row r="2" spans="2:4" ht="20.149999999999999" customHeight="1">
      <c r="B2" s="44" t="s">
        <v>51</v>
      </c>
      <c r="C2" s="39"/>
      <c r="D2" s="43" t="s">
        <v>42</v>
      </c>
    </row>
    <row r="3" spans="2:4" ht="20.149999999999999" customHeight="1">
      <c r="B3" s="41">
        <v>1</v>
      </c>
      <c r="C3" s="40" t="s">
        <v>50</v>
      </c>
      <c r="D3" s="39" t="s">
        <v>392</v>
      </c>
    </row>
    <row r="4" spans="2:4" ht="20.149999999999999" customHeight="1">
      <c r="B4" s="41">
        <v>2</v>
      </c>
      <c r="C4" s="40" t="s">
        <v>49</v>
      </c>
      <c r="D4" s="48">
        <v>1527000</v>
      </c>
    </row>
    <row r="5" spans="2:4" ht="20.149999999999999" customHeight="1">
      <c r="B5" s="41">
        <v>3</v>
      </c>
      <c r="C5" s="40" t="s">
        <v>48</v>
      </c>
      <c r="D5" s="42" t="s">
        <v>47</v>
      </c>
    </row>
    <row r="6" spans="2:4" ht="20.149999999999999" customHeight="1">
      <c r="B6" s="41">
        <v>4</v>
      </c>
      <c r="C6" s="40" t="s">
        <v>46</v>
      </c>
      <c r="D6" s="47" t="s">
        <v>125</v>
      </c>
    </row>
    <row r="7" spans="2:4" ht="20.149999999999999" customHeight="1">
      <c r="B7" s="41">
        <v>5</v>
      </c>
      <c r="C7" s="40" t="s">
        <v>45</v>
      </c>
      <c r="D7" s="39" t="s">
        <v>44</v>
      </c>
    </row>
    <row r="8" spans="2:4" ht="20.149999999999999" customHeight="1">
      <c r="B8" s="46"/>
      <c r="C8" s="45"/>
    </row>
    <row r="9" spans="2:4" ht="20.149999999999999" customHeight="1">
      <c r="B9" s="44" t="s">
        <v>43</v>
      </c>
      <c r="C9" s="39"/>
      <c r="D9" s="43" t="s">
        <v>42</v>
      </c>
    </row>
    <row r="10" spans="2:4" ht="20.149999999999999" customHeight="1">
      <c r="B10" s="41">
        <v>1</v>
      </c>
      <c r="C10" s="40" t="s">
        <v>41</v>
      </c>
      <c r="D10" s="42" t="s">
        <v>40</v>
      </c>
    </row>
    <row r="11" spans="2:4" ht="20.149999999999999" customHeight="1">
      <c r="B11" s="41">
        <v>2</v>
      </c>
      <c r="C11" s="40" t="s">
        <v>39</v>
      </c>
      <c r="D11" s="39" t="s">
        <v>38</v>
      </c>
    </row>
    <row r="12" spans="2:4" ht="20.149999999999999" customHeight="1">
      <c r="B12" s="41">
        <v>3</v>
      </c>
      <c r="C12" s="40" t="s">
        <v>37</v>
      </c>
      <c r="D12" s="39" t="s">
        <v>36</v>
      </c>
    </row>
    <row r="13" spans="2:4" ht="20.149999999999999" customHeight="1">
      <c r="B13" s="41">
        <v>4</v>
      </c>
      <c r="C13" s="40" t="s">
        <v>35</v>
      </c>
      <c r="D13" s="39" t="s">
        <v>124</v>
      </c>
    </row>
    <row r="14" spans="2:4" ht="20.149999999999999" customHeight="1"/>
    <row r="15" spans="2:4" ht="20.149999999999999" customHeight="1"/>
    <row r="26" spans="4:4">
      <c r="D26" s="73"/>
    </row>
  </sheetData>
  <phoneticPr fontId="1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25"/>
  <sheetViews>
    <sheetView workbookViewId="0">
      <selection activeCell="G18" sqref="G18"/>
    </sheetView>
  </sheetViews>
  <sheetFormatPr defaultRowHeight="14"/>
  <cols>
    <col min="1" max="1" width="2.1640625" style="79" customWidth="1"/>
    <col min="2" max="4" width="9" style="79"/>
    <col min="5" max="5" width="11.58203125" style="79" bestFit="1" customWidth="1"/>
    <col min="6" max="6" width="11.83203125" style="79" customWidth="1"/>
    <col min="7" max="7" width="15.5" style="79" bestFit="1" customWidth="1"/>
    <col min="8" max="8" width="19.83203125" style="79" bestFit="1" customWidth="1"/>
    <col min="9" max="10" width="15.1640625" style="79" bestFit="1" customWidth="1"/>
    <col min="11" max="11" width="13.08203125" style="79" customWidth="1"/>
    <col min="12" max="256" width="9" style="79"/>
    <col min="257" max="257" width="2.1640625" style="79" customWidth="1"/>
    <col min="258" max="260" width="9" style="79"/>
    <col min="261" max="261" width="11.58203125" style="79" bestFit="1" customWidth="1"/>
    <col min="262" max="262" width="11.83203125" style="79" customWidth="1"/>
    <col min="263" max="263" width="15.5" style="79" bestFit="1" customWidth="1"/>
    <col min="264" max="264" width="19.83203125" style="79" bestFit="1" customWidth="1"/>
    <col min="265" max="266" width="15.1640625" style="79" bestFit="1" customWidth="1"/>
    <col min="267" max="267" width="13.08203125" style="79" customWidth="1"/>
    <col min="268" max="512" width="9" style="79"/>
    <col min="513" max="513" width="2.1640625" style="79" customWidth="1"/>
    <col min="514" max="516" width="9" style="79"/>
    <col min="517" max="517" width="11.58203125" style="79" bestFit="1" customWidth="1"/>
    <col min="518" max="518" width="11.83203125" style="79" customWidth="1"/>
    <col min="519" max="519" width="15.5" style="79" bestFit="1" customWidth="1"/>
    <col min="520" max="520" width="19.83203125" style="79" bestFit="1" customWidth="1"/>
    <col min="521" max="522" width="15.1640625" style="79" bestFit="1" customWidth="1"/>
    <col min="523" max="523" width="13.08203125" style="79" customWidth="1"/>
    <col min="524" max="768" width="9" style="79"/>
    <col min="769" max="769" width="2.1640625" style="79" customWidth="1"/>
    <col min="770" max="772" width="9" style="79"/>
    <col min="773" max="773" width="11.58203125" style="79" bestFit="1" customWidth="1"/>
    <col min="774" max="774" width="11.83203125" style="79" customWidth="1"/>
    <col min="775" max="775" width="15.5" style="79" bestFit="1" customWidth="1"/>
    <col min="776" max="776" width="19.83203125" style="79" bestFit="1" customWidth="1"/>
    <col min="777" max="778" width="15.1640625" style="79" bestFit="1" customWidth="1"/>
    <col min="779" max="779" width="13.08203125" style="79" customWidth="1"/>
    <col min="780" max="1024" width="9" style="79"/>
    <col min="1025" max="1025" width="2.1640625" style="79" customWidth="1"/>
    <col min="1026" max="1028" width="9" style="79"/>
    <col min="1029" max="1029" width="11.58203125" style="79" bestFit="1" customWidth="1"/>
    <col min="1030" max="1030" width="11.83203125" style="79" customWidth="1"/>
    <col min="1031" max="1031" width="15.5" style="79" bestFit="1" customWidth="1"/>
    <col min="1032" max="1032" width="19.83203125" style="79" bestFit="1" customWidth="1"/>
    <col min="1033" max="1034" width="15.1640625" style="79" bestFit="1" customWidth="1"/>
    <col min="1035" max="1035" width="13.08203125" style="79" customWidth="1"/>
    <col min="1036" max="1280" width="9" style="79"/>
    <col min="1281" max="1281" width="2.1640625" style="79" customWidth="1"/>
    <col min="1282" max="1284" width="9" style="79"/>
    <col min="1285" max="1285" width="11.58203125" style="79" bestFit="1" customWidth="1"/>
    <col min="1286" max="1286" width="11.83203125" style="79" customWidth="1"/>
    <col min="1287" max="1287" width="15.5" style="79" bestFit="1" customWidth="1"/>
    <col min="1288" max="1288" width="19.83203125" style="79" bestFit="1" customWidth="1"/>
    <col min="1289" max="1290" width="15.1640625" style="79" bestFit="1" customWidth="1"/>
    <col min="1291" max="1291" width="13.08203125" style="79" customWidth="1"/>
    <col min="1292" max="1536" width="9" style="79"/>
    <col min="1537" max="1537" width="2.1640625" style="79" customWidth="1"/>
    <col min="1538" max="1540" width="9" style="79"/>
    <col min="1541" max="1541" width="11.58203125" style="79" bestFit="1" customWidth="1"/>
    <col min="1542" max="1542" width="11.83203125" style="79" customWidth="1"/>
    <col min="1543" max="1543" width="15.5" style="79" bestFit="1" customWidth="1"/>
    <col min="1544" max="1544" width="19.83203125" style="79" bestFit="1" customWidth="1"/>
    <col min="1545" max="1546" width="15.1640625" style="79" bestFit="1" customWidth="1"/>
    <col min="1547" max="1547" width="13.08203125" style="79" customWidth="1"/>
    <col min="1548" max="1792" width="9" style="79"/>
    <col min="1793" max="1793" width="2.1640625" style="79" customWidth="1"/>
    <col min="1794" max="1796" width="9" style="79"/>
    <col min="1797" max="1797" width="11.58203125" style="79" bestFit="1" customWidth="1"/>
    <col min="1798" max="1798" width="11.83203125" style="79" customWidth="1"/>
    <col min="1799" max="1799" width="15.5" style="79" bestFit="1" customWidth="1"/>
    <col min="1800" max="1800" width="19.83203125" style="79" bestFit="1" customWidth="1"/>
    <col min="1801" max="1802" width="15.1640625" style="79" bestFit="1" customWidth="1"/>
    <col min="1803" max="1803" width="13.08203125" style="79" customWidth="1"/>
    <col min="1804" max="2048" width="9" style="79"/>
    <col min="2049" max="2049" width="2.1640625" style="79" customWidth="1"/>
    <col min="2050" max="2052" width="9" style="79"/>
    <col min="2053" max="2053" width="11.58203125" style="79" bestFit="1" customWidth="1"/>
    <col min="2054" max="2054" width="11.83203125" style="79" customWidth="1"/>
    <col min="2055" max="2055" width="15.5" style="79" bestFit="1" customWidth="1"/>
    <col min="2056" max="2056" width="19.83203125" style="79" bestFit="1" customWidth="1"/>
    <col min="2057" max="2058" width="15.1640625" style="79" bestFit="1" customWidth="1"/>
    <col min="2059" max="2059" width="13.08203125" style="79" customWidth="1"/>
    <col min="2060" max="2304" width="9" style="79"/>
    <col min="2305" max="2305" width="2.1640625" style="79" customWidth="1"/>
    <col min="2306" max="2308" width="9" style="79"/>
    <col min="2309" max="2309" width="11.58203125" style="79" bestFit="1" customWidth="1"/>
    <col min="2310" max="2310" width="11.83203125" style="79" customWidth="1"/>
    <col min="2311" max="2311" width="15.5" style="79" bestFit="1" customWidth="1"/>
    <col min="2312" max="2312" width="19.83203125" style="79" bestFit="1" customWidth="1"/>
    <col min="2313" max="2314" width="15.1640625" style="79" bestFit="1" customWidth="1"/>
    <col min="2315" max="2315" width="13.08203125" style="79" customWidth="1"/>
    <col min="2316" max="2560" width="9" style="79"/>
    <col min="2561" max="2561" width="2.1640625" style="79" customWidth="1"/>
    <col min="2562" max="2564" width="9" style="79"/>
    <col min="2565" max="2565" width="11.58203125" style="79" bestFit="1" customWidth="1"/>
    <col min="2566" max="2566" width="11.83203125" style="79" customWidth="1"/>
    <col min="2567" max="2567" width="15.5" style="79" bestFit="1" customWidth="1"/>
    <col min="2568" max="2568" width="19.83203125" style="79" bestFit="1" customWidth="1"/>
    <col min="2569" max="2570" width="15.1640625" style="79" bestFit="1" customWidth="1"/>
    <col min="2571" max="2571" width="13.08203125" style="79" customWidth="1"/>
    <col min="2572" max="2816" width="9" style="79"/>
    <col min="2817" max="2817" width="2.1640625" style="79" customWidth="1"/>
    <col min="2818" max="2820" width="9" style="79"/>
    <col min="2821" max="2821" width="11.58203125" style="79" bestFit="1" customWidth="1"/>
    <col min="2822" max="2822" width="11.83203125" style="79" customWidth="1"/>
    <col min="2823" max="2823" width="15.5" style="79" bestFit="1" customWidth="1"/>
    <col min="2824" max="2824" width="19.83203125" style="79" bestFit="1" customWidth="1"/>
    <col min="2825" max="2826" width="15.1640625" style="79" bestFit="1" customWidth="1"/>
    <col min="2827" max="2827" width="13.08203125" style="79" customWidth="1"/>
    <col min="2828" max="3072" width="9" style="79"/>
    <col min="3073" max="3073" width="2.1640625" style="79" customWidth="1"/>
    <col min="3074" max="3076" width="9" style="79"/>
    <col min="3077" max="3077" width="11.58203125" style="79" bestFit="1" customWidth="1"/>
    <col min="3078" max="3078" width="11.83203125" style="79" customWidth="1"/>
    <col min="3079" max="3079" width="15.5" style="79" bestFit="1" customWidth="1"/>
    <col min="3080" max="3080" width="19.83203125" style="79" bestFit="1" customWidth="1"/>
    <col min="3081" max="3082" width="15.1640625" style="79" bestFit="1" customWidth="1"/>
    <col min="3083" max="3083" width="13.08203125" style="79" customWidth="1"/>
    <col min="3084" max="3328" width="9" style="79"/>
    <col min="3329" max="3329" width="2.1640625" style="79" customWidth="1"/>
    <col min="3330" max="3332" width="9" style="79"/>
    <col min="3333" max="3333" width="11.58203125" style="79" bestFit="1" customWidth="1"/>
    <col min="3334" max="3334" width="11.83203125" style="79" customWidth="1"/>
    <col min="3335" max="3335" width="15.5" style="79" bestFit="1" customWidth="1"/>
    <col min="3336" max="3336" width="19.83203125" style="79" bestFit="1" customWidth="1"/>
    <col min="3337" max="3338" width="15.1640625" style="79" bestFit="1" customWidth="1"/>
    <col min="3339" max="3339" width="13.08203125" style="79" customWidth="1"/>
    <col min="3340" max="3584" width="9" style="79"/>
    <col min="3585" max="3585" width="2.1640625" style="79" customWidth="1"/>
    <col min="3586" max="3588" width="9" style="79"/>
    <col min="3589" max="3589" width="11.58203125" style="79" bestFit="1" customWidth="1"/>
    <col min="3590" max="3590" width="11.83203125" style="79" customWidth="1"/>
    <col min="3591" max="3591" width="15.5" style="79" bestFit="1" customWidth="1"/>
    <col min="3592" max="3592" width="19.83203125" style="79" bestFit="1" customWidth="1"/>
    <col min="3593" max="3594" width="15.1640625" style="79" bestFit="1" customWidth="1"/>
    <col min="3595" max="3595" width="13.08203125" style="79" customWidth="1"/>
    <col min="3596" max="3840" width="9" style="79"/>
    <col min="3841" max="3841" width="2.1640625" style="79" customWidth="1"/>
    <col min="3842" max="3844" width="9" style="79"/>
    <col min="3845" max="3845" width="11.58203125" style="79" bestFit="1" customWidth="1"/>
    <col min="3846" max="3846" width="11.83203125" style="79" customWidth="1"/>
    <col min="3847" max="3847" width="15.5" style="79" bestFit="1" customWidth="1"/>
    <col min="3848" max="3848" width="19.83203125" style="79" bestFit="1" customWidth="1"/>
    <col min="3849" max="3850" width="15.1640625" style="79" bestFit="1" customWidth="1"/>
    <col min="3851" max="3851" width="13.08203125" style="79" customWidth="1"/>
    <col min="3852" max="4096" width="9" style="79"/>
    <col min="4097" max="4097" width="2.1640625" style="79" customWidth="1"/>
    <col min="4098" max="4100" width="9" style="79"/>
    <col min="4101" max="4101" width="11.58203125" style="79" bestFit="1" customWidth="1"/>
    <col min="4102" max="4102" width="11.83203125" style="79" customWidth="1"/>
    <col min="4103" max="4103" width="15.5" style="79" bestFit="1" customWidth="1"/>
    <col min="4104" max="4104" width="19.83203125" style="79" bestFit="1" customWidth="1"/>
    <col min="4105" max="4106" width="15.1640625" style="79" bestFit="1" customWidth="1"/>
    <col min="4107" max="4107" width="13.08203125" style="79" customWidth="1"/>
    <col min="4108" max="4352" width="9" style="79"/>
    <col min="4353" max="4353" width="2.1640625" style="79" customWidth="1"/>
    <col min="4354" max="4356" width="9" style="79"/>
    <col min="4357" max="4357" width="11.58203125" style="79" bestFit="1" customWidth="1"/>
    <col min="4358" max="4358" width="11.83203125" style="79" customWidth="1"/>
    <col min="4359" max="4359" width="15.5" style="79" bestFit="1" customWidth="1"/>
    <col min="4360" max="4360" width="19.83203125" style="79" bestFit="1" customWidth="1"/>
    <col min="4361" max="4362" width="15.1640625" style="79" bestFit="1" customWidth="1"/>
    <col min="4363" max="4363" width="13.08203125" style="79" customWidth="1"/>
    <col min="4364" max="4608" width="9" style="79"/>
    <col min="4609" max="4609" width="2.1640625" style="79" customWidth="1"/>
    <col min="4610" max="4612" width="9" style="79"/>
    <col min="4613" max="4613" width="11.58203125" style="79" bestFit="1" customWidth="1"/>
    <col min="4614" max="4614" width="11.83203125" style="79" customWidth="1"/>
    <col min="4615" max="4615" width="15.5" style="79" bestFit="1" customWidth="1"/>
    <col min="4616" max="4616" width="19.83203125" style="79" bestFit="1" customWidth="1"/>
    <col min="4617" max="4618" width="15.1640625" style="79" bestFit="1" customWidth="1"/>
    <col min="4619" max="4619" width="13.08203125" style="79" customWidth="1"/>
    <col min="4620" max="4864" width="9" style="79"/>
    <col min="4865" max="4865" width="2.1640625" style="79" customWidth="1"/>
    <col min="4866" max="4868" width="9" style="79"/>
    <col min="4869" max="4869" width="11.58203125" style="79" bestFit="1" customWidth="1"/>
    <col min="4870" max="4870" width="11.83203125" style="79" customWidth="1"/>
    <col min="4871" max="4871" width="15.5" style="79" bestFit="1" customWidth="1"/>
    <col min="4872" max="4872" width="19.83203125" style="79" bestFit="1" customWidth="1"/>
    <col min="4873" max="4874" width="15.1640625" style="79" bestFit="1" customWidth="1"/>
    <col min="4875" max="4875" width="13.08203125" style="79" customWidth="1"/>
    <col min="4876" max="5120" width="9" style="79"/>
    <col min="5121" max="5121" width="2.1640625" style="79" customWidth="1"/>
    <col min="5122" max="5124" width="9" style="79"/>
    <col min="5125" max="5125" width="11.58203125" style="79" bestFit="1" customWidth="1"/>
    <col min="5126" max="5126" width="11.83203125" style="79" customWidth="1"/>
    <col min="5127" max="5127" width="15.5" style="79" bestFit="1" customWidth="1"/>
    <col min="5128" max="5128" width="19.83203125" style="79" bestFit="1" customWidth="1"/>
    <col min="5129" max="5130" width="15.1640625" style="79" bestFit="1" customWidth="1"/>
    <col min="5131" max="5131" width="13.08203125" style="79" customWidth="1"/>
    <col min="5132" max="5376" width="9" style="79"/>
    <col min="5377" max="5377" width="2.1640625" style="79" customWidth="1"/>
    <col min="5378" max="5380" width="9" style="79"/>
    <col min="5381" max="5381" width="11.58203125" style="79" bestFit="1" customWidth="1"/>
    <col min="5382" max="5382" width="11.83203125" style="79" customWidth="1"/>
    <col min="5383" max="5383" width="15.5" style="79" bestFit="1" customWidth="1"/>
    <col min="5384" max="5384" width="19.83203125" style="79" bestFit="1" customWidth="1"/>
    <col min="5385" max="5386" width="15.1640625" style="79" bestFit="1" customWidth="1"/>
    <col min="5387" max="5387" width="13.08203125" style="79" customWidth="1"/>
    <col min="5388" max="5632" width="9" style="79"/>
    <col min="5633" max="5633" width="2.1640625" style="79" customWidth="1"/>
    <col min="5634" max="5636" width="9" style="79"/>
    <col min="5637" max="5637" width="11.58203125" style="79" bestFit="1" customWidth="1"/>
    <col min="5638" max="5638" width="11.83203125" style="79" customWidth="1"/>
    <col min="5639" max="5639" width="15.5" style="79" bestFit="1" customWidth="1"/>
    <col min="5640" max="5640" width="19.83203125" style="79" bestFit="1" customWidth="1"/>
    <col min="5641" max="5642" width="15.1640625" style="79" bestFit="1" customWidth="1"/>
    <col min="5643" max="5643" width="13.08203125" style="79" customWidth="1"/>
    <col min="5644" max="5888" width="9" style="79"/>
    <col min="5889" max="5889" width="2.1640625" style="79" customWidth="1"/>
    <col min="5890" max="5892" width="9" style="79"/>
    <col min="5893" max="5893" width="11.58203125" style="79" bestFit="1" customWidth="1"/>
    <col min="5894" max="5894" width="11.83203125" style="79" customWidth="1"/>
    <col min="5895" max="5895" width="15.5" style="79" bestFit="1" customWidth="1"/>
    <col min="5896" max="5896" width="19.83203125" style="79" bestFit="1" customWidth="1"/>
    <col min="5897" max="5898" width="15.1640625" style="79" bestFit="1" customWidth="1"/>
    <col min="5899" max="5899" width="13.08203125" style="79" customWidth="1"/>
    <col min="5900" max="6144" width="9" style="79"/>
    <col min="6145" max="6145" width="2.1640625" style="79" customWidth="1"/>
    <col min="6146" max="6148" width="9" style="79"/>
    <col min="6149" max="6149" width="11.58203125" style="79" bestFit="1" customWidth="1"/>
    <col min="6150" max="6150" width="11.83203125" style="79" customWidth="1"/>
    <col min="6151" max="6151" width="15.5" style="79" bestFit="1" customWidth="1"/>
    <col min="6152" max="6152" width="19.83203125" style="79" bestFit="1" customWidth="1"/>
    <col min="6153" max="6154" width="15.1640625" style="79" bestFit="1" customWidth="1"/>
    <col min="6155" max="6155" width="13.08203125" style="79" customWidth="1"/>
    <col min="6156" max="6400" width="9" style="79"/>
    <col min="6401" max="6401" width="2.1640625" style="79" customWidth="1"/>
    <col min="6402" max="6404" width="9" style="79"/>
    <col min="6405" max="6405" width="11.58203125" style="79" bestFit="1" customWidth="1"/>
    <col min="6406" max="6406" width="11.83203125" style="79" customWidth="1"/>
    <col min="6407" max="6407" width="15.5" style="79" bestFit="1" customWidth="1"/>
    <col min="6408" max="6408" width="19.83203125" style="79" bestFit="1" customWidth="1"/>
    <col min="6409" max="6410" width="15.1640625" style="79" bestFit="1" customWidth="1"/>
    <col min="6411" max="6411" width="13.08203125" style="79" customWidth="1"/>
    <col min="6412" max="6656" width="9" style="79"/>
    <col min="6657" max="6657" width="2.1640625" style="79" customWidth="1"/>
    <col min="6658" max="6660" width="9" style="79"/>
    <col min="6661" max="6661" width="11.58203125" style="79" bestFit="1" customWidth="1"/>
    <col min="6662" max="6662" width="11.83203125" style="79" customWidth="1"/>
    <col min="6663" max="6663" width="15.5" style="79" bestFit="1" customWidth="1"/>
    <col min="6664" max="6664" width="19.83203125" style="79" bestFit="1" customWidth="1"/>
    <col min="6665" max="6666" width="15.1640625" style="79" bestFit="1" customWidth="1"/>
    <col min="6667" max="6667" width="13.08203125" style="79" customWidth="1"/>
    <col min="6668" max="6912" width="9" style="79"/>
    <col min="6913" max="6913" width="2.1640625" style="79" customWidth="1"/>
    <col min="6914" max="6916" width="9" style="79"/>
    <col min="6917" max="6917" width="11.58203125" style="79" bestFit="1" customWidth="1"/>
    <col min="6918" max="6918" width="11.83203125" style="79" customWidth="1"/>
    <col min="6919" max="6919" width="15.5" style="79" bestFit="1" customWidth="1"/>
    <col min="6920" max="6920" width="19.83203125" style="79" bestFit="1" customWidth="1"/>
    <col min="6921" max="6922" width="15.1640625" style="79" bestFit="1" customWidth="1"/>
    <col min="6923" max="6923" width="13.08203125" style="79" customWidth="1"/>
    <col min="6924" max="7168" width="9" style="79"/>
    <col min="7169" max="7169" width="2.1640625" style="79" customWidth="1"/>
    <col min="7170" max="7172" width="9" style="79"/>
    <col min="7173" max="7173" width="11.58203125" style="79" bestFit="1" customWidth="1"/>
    <col min="7174" max="7174" width="11.83203125" style="79" customWidth="1"/>
    <col min="7175" max="7175" width="15.5" style="79" bestFit="1" customWidth="1"/>
    <col min="7176" max="7176" width="19.83203125" style="79" bestFit="1" customWidth="1"/>
    <col min="7177" max="7178" width="15.1640625" style="79" bestFit="1" customWidth="1"/>
    <col min="7179" max="7179" width="13.08203125" style="79" customWidth="1"/>
    <col min="7180" max="7424" width="9" style="79"/>
    <col min="7425" max="7425" width="2.1640625" style="79" customWidth="1"/>
    <col min="7426" max="7428" width="9" style="79"/>
    <col min="7429" max="7429" width="11.58203125" style="79" bestFit="1" customWidth="1"/>
    <col min="7430" max="7430" width="11.83203125" style="79" customWidth="1"/>
    <col min="7431" max="7431" width="15.5" style="79" bestFit="1" customWidth="1"/>
    <col min="7432" max="7432" width="19.83203125" style="79" bestFit="1" customWidth="1"/>
    <col min="7433" max="7434" width="15.1640625" style="79" bestFit="1" customWidth="1"/>
    <col min="7435" max="7435" width="13.08203125" style="79" customWidth="1"/>
    <col min="7436" max="7680" width="9" style="79"/>
    <col min="7681" max="7681" width="2.1640625" style="79" customWidth="1"/>
    <col min="7682" max="7684" width="9" style="79"/>
    <col min="7685" max="7685" width="11.58203125" style="79" bestFit="1" customWidth="1"/>
    <col min="7686" max="7686" width="11.83203125" style="79" customWidth="1"/>
    <col min="7687" max="7687" width="15.5" style="79" bestFit="1" customWidth="1"/>
    <col min="7688" max="7688" width="19.83203125" style="79" bestFit="1" customWidth="1"/>
    <col min="7689" max="7690" width="15.1640625" style="79" bestFit="1" customWidth="1"/>
    <col min="7691" max="7691" width="13.08203125" style="79" customWidth="1"/>
    <col min="7692" max="7936" width="9" style="79"/>
    <col min="7937" max="7937" width="2.1640625" style="79" customWidth="1"/>
    <col min="7938" max="7940" width="9" style="79"/>
    <col min="7941" max="7941" width="11.58203125" style="79" bestFit="1" customWidth="1"/>
    <col min="7942" max="7942" width="11.83203125" style="79" customWidth="1"/>
    <col min="7943" max="7943" width="15.5" style="79" bestFit="1" customWidth="1"/>
    <col min="7944" max="7944" width="19.83203125" style="79" bestFit="1" customWidth="1"/>
    <col min="7945" max="7946" width="15.1640625" style="79" bestFit="1" customWidth="1"/>
    <col min="7947" max="7947" width="13.08203125" style="79" customWidth="1"/>
    <col min="7948" max="8192" width="9" style="79"/>
    <col min="8193" max="8193" width="2.1640625" style="79" customWidth="1"/>
    <col min="8194" max="8196" width="9" style="79"/>
    <col min="8197" max="8197" width="11.58203125" style="79" bestFit="1" customWidth="1"/>
    <col min="8198" max="8198" width="11.83203125" style="79" customWidth="1"/>
    <col min="8199" max="8199" width="15.5" style="79" bestFit="1" customWidth="1"/>
    <col min="8200" max="8200" width="19.83203125" style="79" bestFit="1" customWidth="1"/>
    <col min="8201" max="8202" width="15.1640625" style="79" bestFit="1" customWidth="1"/>
    <col min="8203" max="8203" width="13.08203125" style="79" customWidth="1"/>
    <col min="8204" max="8448" width="9" style="79"/>
    <col min="8449" max="8449" width="2.1640625" style="79" customWidth="1"/>
    <col min="8450" max="8452" width="9" style="79"/>
    <col min="8453" max="8453" width="11.58203125" style="79" bestFit="1" customWidth="1"/>
    <col min="8454" max="8454" width="11.83203125" style="79" customWidth="1"/>
    <col min="8455" max="8455" width="15.5" style="79" bestFit="1" customWidth="1"/>
    <col min="8456" max="8456" width="19.83203125" style="79" bestFit="1" customWidth="1"/>
    <col min="8457" max="8458" width="15.1640625" style="79" bestFit="1" customWidth="1"/>
    <col min="8459" max="8459" width="13.08203125" style="79" customWidth="1"/>
    <col min="8460" max="8704" width="9" style="79"/>
    <col min="8705" max="8705" width="2.1640625" style="79" customWidth="1"/>
    <col min="8706" max="8708" width="9" style="79"/>
    <col min="8709" max="8709" width="11.58203125" style="79" bestFit="1" customWidth="1"/>
    <col min="8710" max="8710" width="11.83203125" style="79" customWidth="1"/>
    <col min="8711" max="8711" width="15.5" style="79" bestFit="1" customWidth="1"/>
    <col min="8712" max="8712" width="19.83203125" style="79" bestFit="1" customWidth="1"/>
    <col min="8713" max="8714" width="15.1640625" style="79" bestFit="1" customWidth="1"/>
    <col min="8715" max="8715" width="13.08203125" style="79" customWidth="1"/>
    <col min="8716" max="8960" width="9" style="79"/>
    <col min="8961" max="8961" width="2.1640625" style="79" customWidth="1"/>
    <col min="8962" max="8964" width="9" style="79"/>
    <col min="8965" max="8965" width="11.58203125" style="79" bestFit="1" customWidth="1"/>
    <col min="8966" max="8966" width="11.83203125" style="79" customWidth="1"/>
    <col min="8967" max="8967" width="15.5" style="79" bestFit="1" customWidth="1"/>
    <col min="8968" max="8968" width="19.83203125" style="79" bestFit="1" customWidth="1"/>
    <col min="8969" max="8970" width="15.1640625" style="79" bestFit="1" customWidth="1"/>
    <col min="8971" max="8971" width="13.08203125" style="79" customWidth="1"/>
    <col min="8972" max="9216" width="9" style="79"/>
    <col min="9217" max="9217" width="2.1640625" style="79" customWidth="1"/>
    <col min="9218" max="9220" width="9" style="79"/>
    <col min="9221" max="9221" width="11.58203125" style="79" bestFit="1" customWidth="1"/>
    <col min="9222" max="9222" width="11.83203125" style="79" customWidth="1"/>
    <col min="9223" max="9223" width="15.5" style="79" bestFit="1" customWidth="1"/>
    <col min="9224" max="9224" width="19.83203125" style="79" bestFit="1" customWidth="1"/>
    <col min="9225" max="9226" width="15.1640625" style="79" bestFit="1" customWidth="1"/>
    <col min="9227" max="9227" width="13.08203125" style="79" customWidth="1"/>
    <col min="9228" max="9472" width="9" style="79"/>
    <col min="9473" max="9473" width="2.1640625" style="79" customWidth="1"/>
    <col min="9474" max="9476" width="9" style="79"/>
    <col min="9477" max="9477" width="11.58203125" style="79" bestFit="1" customWidth="1"/>
    <col min="9478" max="9478" width="11.83203125" style="79" customWidth="1"/>
    <col min="9479" max="9479" width="15.5" style="79" bestFit="1" customWidth="1"/>
    <col min="9480" max="9480" width="19.83203125" style="79" bestFit="1" customWidth="1"/>
    <col min="9481" max="9482" width="15.1640625" style="79" bestFit="1" customWidth="1"/>
    <col min="9483" max="9483" width="13.08203125" style="79" customWidth="1"/>
    <col min="9484" max="9728" width="9" style="79"/>
    <col min="9729" max="9729" width="2.1640625" style="79" customWidth="1"/>
    <col min="9730" max="9732" width="9" style="79"/>
    <col min="9733" max="9733" width="11.58203125" style="79" bestFit="1" customWidth="1"/>
    <col min="9734" max="9734" width="11.83203125" style="79" customWidth="1"/>
    <col min="9735" max="9735" width="15.5" style="79" bestFit="1" customWidth="1"/>
    <col min="9736" max="9736" width="19.83203125" style="79" bestFit="1" customWidth="1"/>
    <col min="9737" max="9738" width="15.1640625" style="79" bestFit="1" customWidth="1"/>
    <col min="9739" max="9739" width="13.08203125" style="79" customWidth="1"/>
    <col min="9740" max="9984" width="9" style="79"/>
    <col min="9985" max="9985" width="2.1640625" style="79" customWidth="1"/>
    <col min="9986" max="9988" width="9" style="79"/>
    <col min="9989" max="9989" width="11.58203125" style="79" bestFit="1" customWidth="1"/>
    <col min="9990" max="9990" width="11.83203125" style="79" customWidth="1"/>
    <col min="9991" max="9991" width="15.5" style="79" bestFit="1" customWidth="1"/>
    <col min="9992" max="9992" width="19.83203125" style="79" bestFit="1" customWidth="1"/>
    <col min="9993" max="9994" width="15.1640625" style="79" bestFit="1" customWidth="1"/>
    <col min="9995" max="9995" width="13.08203125" style="79" customWidth="1"/>
    <col min="9996" max="10240" width="9" style="79"/>
    <col min="10241" max="10241" width="2.1640625" style="79" customWidth="1"/>
    <col min="10242" max="10244" width="9" style="79"/>
    <col min="10245" max="10245" width="11.58203125" style="79" bestFit="1" customWidth="1"/>
    <col min="10246" max="10246" width="11.83203125" style="79" customWidth="1"/>
    <col min="10247" max="10247" width="15.5" style="79" bestFit="1" customWidth="1"/>
    <col min="10248" max="10248" width="19.83203125" style="79" bestFit="1" customWidth="1"/>
    <col min="10249" max="10250" width="15.1640625" style="79" bestFit="1" customWidth="1"/>
    <col min="10251" max="10251" width="13.08203125" style="79" customWidth="1"/>
    <col min="10252" max="10496" width="9" style="79"/>
    <col min="10497" max="10497" width="2.1640625" style="79" customWidth="1"/>
    <col min="10498" max="10500" width="9" style="79"/>
    <col min="10501" max="10501" width="11.58203125" style="79" bestFit="1" customWidth="1"/>
    <col min="10502" max="10502" width="11.83203125" style="79" customWidth="1"/>
    <col min="10503" max="10503" width="15.5" style="79" bestFit="1" customWidth="1"/>
    <col min="10504" max="10504" width="19.83203125" style="79" bestFit="1" customWidth="1"/>
    <col min="10505" max="10506" width="15.1640625" style="79" bestFit="1" customWidth="1"/>
    <col min="10507" max="10507" width="13.08203125" style="79" customWidth="1"/>
    <col min="10508" max="10752" width="9" style="79"/>
    <col min="10753" max="10753" width="2.1640625" style="79" customWidth="1"/>
    <col min="10754" max="10756" width="9" style="79"/>
    <col min="10757" max="10757" width="11.58203125" style="79" bestFit="1" customWidth="1"/>
    <col min="10758" max="10758" width="11.83203125" style="79" customWidth="1"/>
    <col min="10759" max="10759" width="15.5" style="79" bestFit="1" customWidth="1"/>
    <col min="10760" max="10760" width="19.83203125" style="79" bestFit="1" customWidth="1"/>
    <col min="10761" max="10762" width="15.1640625" style="79" bestFit="1" customWidth="1"/>
    <col min="10763" max="10763" width="13.08203125" style="79" customWidth="1"/>
    <col min="10764" max="11008" width="9" style="79"/>
    <col min="11009" max="11009" width="2.1640625" style="79" customWidth="1"/>
    <col min="11010" max="11012" width="9" style="79"/>
    <col min="11013" max="11013" width="11.58203125" style="79" bestFit="1" customWidth="1"/>
    <col min="11014" max="11014" width="11.83203125" style="79" customWidth="1"/>
    <col min="11015" max="11015" width="15.5" style="79" bestFit="1" customWidth="1"/>
    <col min="11016" max="11016" width="19.83203125" style="79" bestFit="1" customWidth="1"/>
    <col min="11017" max="11018" width="15.1640625" style="79" bestFit="1" customWidth="1"/>
    <col min="11019" max="11019" width="13.08203125" style="79" customWidth="1"/>
    <col min="11020" max="11264" width="9" style="79"/>
    <col min="11265" max="11265" width="2.1640625" style="79" customWidth="1"/>
    <col min="11266" max="11268" width="9" style="79"/>
    <col min="11269" max="11269" width="11.58203125" style="79" bestFit="1" customWidth="1"/>
    <col min="11270" max="11270" width="11.83203125" style="79" customWidth="1"/>
    <col min="11271" max="11271" width="15.5" style="79" bestFit="1" customWidth="1"/>
    <col min="11272" max="11272" width="19.83203125" style="79" bestFit="1" customWidth="1"/>
    <col min="11273" max="11274" width="15.1640625" style="79" bestFit="1" customWidth="1"/>
    <col min="11275" max="11275" width="13.08203125" style="79" customWidth="1"/>
    <col min="11276" max="11520" width="9" style="79"/>
    <col min="11521" max="11521" width="2.1640625" style="79" customWidth="1"/>
    <col min="11522" max="11524" width="9" style="79"/>
    <col min="11525" max="11525" width="11.58203125" style="79" bestFit="1" customWidth="1"/>
    <col min="11526" max="11526" width="11.83203125" style="79" customWidth="1"/>
    <col min="11527" max="11527" width="15.5" style="79" bestFit="1" customWidth="1"/>
    <col min="11528" max="11528" width="19.83203125" style="79" bestFit="1" customWidth="1"/>
    <col min="11529" max="11530" width="15.1640625" style="79" bestFit="1" customWidth="1"/>
    <col min="11531" max="11531" width="13.08203125" style="79" customWidth="1"/>
    <col min="11532" max="11776" width="9" style="79"/>
    <col min="11777" max="11777" width="2.1640625" style="79" customWidth="1"/>
    <col min="11778" max="11780" width="9" style="79"/>
    <col min="11781" max="11781" width="11.58203125" style="79" bestFit="1" customWidth="1"/>
    <col min="11782" max="11782" width="11.83203125" style="79" customWidth="1"/>
    <col min="11783" max="11783" width="15.5" style="79" bestFit="1" customWidth="1"/>
    <col min="11784" max="11784" width="19.83203125" style="79" bestFit="1" customWidth="1"/>
    <col min="11785" max="11786" width="15.1640625" style="79" bestFit="1" customWidth="1"/>
    <col min="11787" max="11787" width="13.08203125" style="79" customWidth="1"/>
    <col min="11788" max="12032" width="9" style="79"/>
    <col min="12033" max="12033" width="2.1640625" style="79" customWidth="1"/>
    <col min="12034" max="12036" width="9" style="79"/>
    <col min="12037" max="12037" width="11.58203125" style="79" bestFit="1" customWidth="1"/>
    <col min="12038" max="12038" width="11.83203125" style="79" customWidth="1"/>
    <col min="12039" max="12039" width="15.5" style="79" bestFit="1" customWidth="1"/>
    <col min="12040" max="12040" width="19.83203125" style="79" bestFit="1" customWidth="1"/>
    <col min="12041" max="12042" width="15.1640625" style="79" bestFit="1" customWidth="1"/>
    <col min="12043" max="12043" width="13.08203125" style="79" customWidth="1"/>
    <col min="12044" max="12288" width="9" style="79"/>
    <col min="12289" max="12289" width="2.1640625" style="79" customWidth="1"/>
    <col min="12290" max="12292" width="9" style="79"/>
    <col min="12293" max="12293" width="11.58203125" style="79" bestFit="1" customWidth="1"/>
    <col min="12294" max="12294" width="11.83203125" style="79" customWidth="1"/>
    <col min="12295" max="12295" width="15.5" style="79" bestFit="1" customWidth="1"/>
    <col min="12296" max="12296" width="19.83203125" style="79" bestFit="1" customWidth="1"/>
    <col min="12297" max="12298" width="15.1640625" style="79" bestFit="1" customWidth="1"/>
    <col min="12299" max="12299" width="13.08203125" style="79" customWidth="1"/>
    <col min="12300" max="12544" width="9" style="79"/>
    <col min="12545" max="12545" width="2.1640625" style="79" customWidth="1"/>
    <col min="12546" max="12548" width="9" style="79"/>
    <col min="12549" max="12549" width="11.58203125" style="79" bestFit="1" customWidth="1"/>
    <col min="12550" max="12550" width="11.83203125" style="79" customWidth="1"/>
    <col min="12551" max="12551" width="15.5" style="79" bestFit="1" customWidth="1"/>
    <col min="12552" max="12552" width="19.83203125" style="79" bestFit="1" customWidth="1"/>
    <col min="12553" max="12554" width="15.1640625" style="79" bestFit="1" customWidth="1"/>
    <col min="12555" max="12555" width="13.08203125" style="79" customWidth="1"/>
    <col min="12556" max="12800" width="9" style="79"/>
    <col min="12801" max="12801" width="2.1640625" style="79" customWidth="1"/>
    <col min="12802" max="12804" width="9" style="79"/>
    <col min="12805" max="12805" width="11.58203125" style="79" bestFit="1" customWidth="1"/>
    <col min="12806" max="12806" width="11.83203125" style="79" customWidth="1"/>
    <col min="12807" max="12807" width="15.5" style="79" bestFit="1" customWidth="1"/>
    <col min="12808" max="12808" width="19.83203125" style="79" bestFit="1" customWidth="1"/>
    <col min="12809" max="12810" width="15.1640625" style="79" bestFit="1" customWidth="1"/>
    <col min="12811" max="12811" width="13.08203125" style="79" customWidth="1"/>
    <col min="12812" max="13056" width="9" style="79"/>
    <col min="13057" max="13057" width="2.1640625" style="79" customWidth="1"/>
    <col min="13058" max="13060" width="9" style="79"/>
    <col min="13061" max="13061" width="11.58203125" style="79" bestFit="1" customWidth="1"/>
    <col min="13062" max="13062" width="11.83203125" style="79" customWidth="1"/>
    <col min="13063" max="13063" width="15.5" style="79" bestFit="1" customWidth="1"/>
    <col min="13064" max="13064" width="19.83203125" style="79" bestFit="1" customWidth="1"/>
    <col min="13065" max="13066" width="15.1640625" style="79" bestFit="1" customWidth="1"/>
    <col min="13067" max="13067" width="13.08203125" style="79" customWidth="1"/>
    <col min="13068" max="13312" width="9" style="79"/>
    <col min="13313" max="13313" width="2.1640625" style="79" customWidth="1"/>
    <col min="13314" max="13316" width="9" style="79"/>
    <col min="13317" max="13317" width="11.58203125" style="79" bestFit="1" customWidth="1"/>
    <col min="13318" max="13318" width="11.83203125" style="79" customWidth="1"/>
    <col min="13319" max="13319" width="15.5" style="79" bestFit="1" customWidth="1"/>
    <col min="13320" max="13320" width="19.83203125" style="79" bestFit="1" customWidth="1"/>
    <col min="13321" max="13322" width="15.1640625" style="79" bestFit="1" customWidth="1"/>
    <col min="13323" max="13323" width="13.08203125" style="79" customWidth="1"/>
    <col min="13324" max="13568" width="9" style="79"/>
    <col min="13569" max="13569" width="2.1640625" style="79" customWidth="1"/>
    <col min="13570" max="13572" width="9" style="79"/>
    <col min="13573" max="13573" width="11.58203125" style="79" bestFit="1" customWidth="1"/>
    <col min="13574" max="13574" width="11.83203125" style="79" customWidth="1"/>
    <col min="13575" max="13575" width="15.5" style="79" bestFit="1" customWidth="1"/>
    <col min="13576" max="13576" width="19.83203125" style="79" bestFit="1" customWidth="1"/>
    <col min="13577" max="13578" width="15.1640625" style="79" bestFit="1" customWidth="1"/>
    <col min="13579" max="13579" width="13.08203125" style="79" customWidth="1"/>
    <col min="13580" max="13824" width="9" style="79"/>
    <col min="13825" max="13825" width="2.1640625" style="79" customWidth="1"/>
    <col min="13826" max="13828" width="9" style="79"/>
    <col min="13829" max="13829" width="11.58203125" style="79" bestFit="1" customWidth="1"/>
    <col min="13830" max="13830" width="11.83203125" style="79" customWidth="1"/>
    <col min="13831" max="13831" width="15.5" style="79" bestFit="1" customWidth="1"/>
    <col min="13832" max="13832" width="19.83203125" style="79" bestFit="1" customWidth="1"/>
    <col min="13833" max="13834" width="15.1640625" style="79" bestFit="1" customWidth="1"/>
    <col min="13835" max="13835" width="13.08203125" style="79" customWidth="1"/>
    <col min="13836" max="14080" width="9" style="79"/>
    <col min="14081" max="14081" width="2.1640625" style="79" customWidth="1"/>
    <col min="14082" max="14084" width="9" style="79"/>
    <col min="14085" max="14085" width="11.58203125" style="79" bestFit="1" customWidth="1"/>
    <col min="14086" max="14086" width="11.83203125" style="79" customWidth="1"/>
    <col min="14087" max="14087" width="15.5" style="79" bestFit="1" customWidth="1"/>
    <col min="14088" max="14088" width="19.83203125" style="79" bestFit="1" customWidth="1"/>
    <col min="14089" max="14090" width="15.1640625" style="79" bestFit="1" customWidth="1"/>
    <col min="14091" max="14091" width="13.08203125" style="79" customWidth="1"/>
    <col min="14092" max="14336" width="9" style="79"/>
    <col min="14337" max="14337" width="2.1640625" style="79" customWidth="1"/>
    <col min="14338" max="14340" width="9" style="79"/>
    <col min="14341" max="14341" width="11.58203125" style="79" bestFit="1" customWidth="1"/>
    <col min="14342" max="14342" width="11.83203125" style="79" customWidth="1"/>
    <col min="14343" max="14343" width="15.5" style="79" bestFit="1" customWidth="1"/>
    <col min="14344" max="14344" width="19.83203125" style="79" bestFit="1" customWidth="1"/>
    <col min="14345" max="14346" width="15.1640625" style="79" bestFit="1" customWidth="1"/>
    <col min="14347" max="14347" width="13.08203125" style="79" customWidth="1"/>
    <col min="14348" max="14592" width="9" style="79"/>
    <col min="14593" max="14593" width="2.1640625" style="79" customWidth="1"/>
    <col min="14594" max="14596" width="9" style="79"/>
    <col min="14597" max="14597" width="11.58203125" style="79" bestFit="1" customWidth="1"/>
    <col min="14598" max="14598" width="11.83203125" style="79" customWidth="1"/>
    <col min="14599" max="14599" width="15.5" style="79" bestFit="1" customWidth="1"/>
    <col min="14600" max="14600" width="19.83203125" style="79" bestFit="1" customWidth="1"/>
    <col min="14601" max="14602" width="15.1640625" style="79" bestFit="1" customWidth="1"/>
    <col min="14603" max="14603" width="13.08203125" style="79" customWidth="1"/>
    <col min="14604" max="14848" width="9" style="79"/>
    <col min="14849" max="14849" width="2.1640625" style="79" customWidth="1"/>
    <col min="14850" max="14852" width="9" style="79"/>
    <col min="14853" max="14853" width="11.58203125" style="79" bestFit="1" customWidth="1"/>
    <col min="14854" max="14854" width="11.83203125" style="79" customWidth="1"/>
    <col min="14855" max="14855" width="15.5" style="79" bestFit="1" customWidth="1"/>
    <col min="14856" max="14856" width="19.83203125" style="79" bestFit="1" customWidth="1"/>
    <col min="14857" max="14858" width="15.1640625" style="79" bestFit="1" customWidth="1"/>
    <col min="14859" max="14859" width="13.08203125" style="79" customWidth="1"/>
    <col min="14860" max="15104" width="9" style="79"/>
    <col min="15105" max="15105" width="2.1640625" style="79" customWidth="1"/>
    <col min="15106" max="15108" width="9" style="79"/>
    <col min="15109" max="15109" width="11.58203125" style="79" bestFit="1" customWidth="1"/>
    <col min="15110" max="15110" width="11.83203125" style="79" customWidth="1"/>
    <col min="15111" max="15111" width="15.5" style="79" bestFit="1" customWidth="1"/>
    <col min="15112" max="15112" width="19.83203125" style="79" bestFit="1" customWidth="1"/>
    <col min="15113" max="15114" width="15.1640625" style="79" bestFit="1" customWidth="1"/>
    <col min="15115" max="15115" width="13.08203125" style="79" customWidth="1"/>
    <col min="15116" max="15360" width="9" style="79"/>
    <col min="15361" max="15361" width="2.1640625" style="79" customWidth="1"/>
    <col min="15362" max="15364" width="9" style="79"/>
    <col min="15365" max="15365" width="11.58203125" style="79" bestFit="1" customWidth="1"/>
    <col min="15366" max="15366" width="11.83203125" style="79" customWidth="1"/>
    <col min="15367" max="15367" width="15.5" style="79" bestFit="1" customWidth="1"/>
    <col min="15368" max="15368" width="19.83203125" style="79" bestFit="1" customWidth="1"/>
    <col min="15369" max="15370" width="15.1640625" style="79" bestFit="1" customWidth="1"/>
    <col min="15371" max="15371" width="13.08203125" style="79" customWidth="1"/>
    <col min="15372" max="15616" width="9" style="79"/>
    <col min="15617" max="15617" width="2.1640625" style="79" customWidth="1"/>
    <col min="15618" max="15620" width="9" style="79"/>
    <col min="15621" max="15621" width="11.58203125" style="79" bestFit="1" customWidth="1"/>
    <col min="15622" max="15622" width="11.83203125" style="79" customWidth="1"/>
    <col min="15623" max="15623" width="15.5" style="79" bestFit="1" customWidth="1"/>
    <col min="15624" max="15624" width="19.83203125" style="79" bestFit="1" customWidth="1"/>
    <col min="15625" max="15626" width="15.1640625" style="79" bestFit="1" customWidth="1"/>
    <col min="15627" max="15627" width="13.08203125" style="79" customWidth="1"/>
    <col min="15628" max="15872" width="9" style="79"/>
    <col min="15873" max="15873" width="2.1640625" style="79" customWidth="1"/>
    <col min="15874" max="15876" width="9" style="79"/>
    <col min="15877" max="15877" width="11.58203125" style="79" bestFit="1" customWidth="1"/>
    <col min="15878" max="15878" width="11.83203125" style="79" customWidth="1"/>
    <col min="15879" max="15879" width="15.5" style="79" bestFit="1" customWidth="1"/>
    <col min="15880" max="15880" width="19.83203125" style="79" bestFit="1" customWidth="1"/>
    <col min="15881" max="15882" width="15.1640625" style="79" bestFit="1" customWidth="1"/>
    <col min="15883" max="15883" width="13.08203125" style="79" customWidth="1"/>
    <col min="15884" max="16128" width="9" style="79"/>
    <col min="16129" max="16129" width="2.1640625" style="79" customWidth="1"/>
    <col min="16130" max="16132" width="9" style="79"/>
    <col min="16133" max="16133" width="11.58203125" style="79" bestFit="1" customWidth="1"/>
    <col min="16134" max="16134" width="11.83203125" style="79" customWidth="1"/>
    <col min="16135" max="16135" width="15.5" style="79" bestFit="1" customWidth="1"/>
    <col min="16136" max="16136" width="19.83203125" style="79" bestFit="1" customWidth="1"/>
    <col min="16137" max="16138" width="15.1640625" style="79" bestFit="1" customWidth="1"/>
    <col min="16139" max="16139" width="13.08203125" style="79" customWidth="1"/>
    <col min="16140" max="16384" width="9" style="79"/>
  </cols>
  <sheetData>
    <row r="2" spans="2:11" ht="22.5" customHeight="1">
      <c r="B2" s="171" t="s">
        <v>128</v>
      </c>
      <c r="C2" s="171"/>
      <c r="D2" s="171"/>
      <c r="E2" s="171"/>
      <c r="F2" s="171"/>
      <c r="G2" s="171"/>
      <c r="H2" s="171"/>
      <c r="I2" s="171"/>
      <c r="J2" s="171"/>
    </row>
    <row r="4" spans="2:11" ht="20.25" customHeight="1" thickBot="1">
      <c r="B4" s="80" t="s">
        <v>129</v>
      </c>
      <c r="C4" s="80" t="s">
        <v>130</v>
      </c>
      <c r="D4" s="80" t="s">
        <v>131</v>
      </c>
      <c r="E4" s="80" t="s">
        <v>132</v>
      </c>
      <c r="F4" s="80" t="s">
        <v>133</v>
      </c>
      <c r="G4" s="80" t="s">
        <v>134</v>
      </c>
      <c r="H4" s="80" t="s">
        <v>135</v>
      </c>
      <c r="I4" s="80" t="s">
        <v>136</v>
      </c>
      <c r="J4" s="80" t="s">
        <v>137</v>
      </c>
      <c r="K4" s="80" t="s">
        <v>138</v>
      </c>
    </row>
    <row r="5" spans="2:11" ht="20.25" customHeight="1" thickTop="1">
      <c r="B5" s="81">
        <v>1</v>
      </c>
      <c r="C5" s="82">
        <v>56</v>
      </c>
      <c r="D5" s="83">
        <v>45</v>
      </c>
      <c r="E5" s="84">
        <v>123000</v>
      </c>
      <c r="F5" s="85">
        <v>123000</v>
      </c>
      <c r="G5" s="86">
        <v>123000000</v>
      </c>
      <c r="H5" s="87">
        <v>123000000000</v>
      </c>
      <c r="I5" s="88">
        <v>123.25</v>
      </c>
      <c r="J5" s="89">
        <v>0.2</v>
      </c>
      <c r="K5" s="90">
        <v>123200</v>
      </c>
    </row>
    <row r="6" spans="2:11" ht="20.25" customHeight="1">
      <c r="B6" s="81">
        <v>2</v>
      </c>
      <c r="C6" s="91">
        <v>40</v>
      </c>
      <c r="D6" s="92">
        <v>90</v>
      </c>
      <c r="E6" s="93">
        <v>230000</v>
      </c>
      <c r="F6" s="94">
        <v>230000</v>
      </c>
      <c r="G6" s="95">
        <v>230000000</v>
      </c>
      <c r="H6" s="96">
        <v>230000000000</v>
      </c>
      <c r="I6" s="97">
        <v>2.6539999999999999</v>
      </c>
      <c r="J6" s="98">
        <v>6.741573033707865E-2</v>
      </c>
      <c r="K6" s="99">
        <v>256300</v>
      </c>
    </row>
    <row r="7" spans="2:11" ht="20.25" customHeight="1">
      <c r="B7" s="81">
        <v>3</v>
      </c>
      <c r="C7" s="91">
        <v>45</v>
      </c>
      <c r="D7" s="92">
        <v>98</v>
      </c>
      <c r="E7" s="93">
        <v>254000</v>
      </c>
      <c r="F7" s="94">
        <v>254000</v>
      </c>
      <c r="G7" s="95">
        <v>254000000</v>
      </c>
      <c r="H7" s="96">
        <v>254000000000</v>
      </c>
      <c r="I7" s="97">
        <v>23.65</v>
      </c>
      <c r="J7" s="98">
        <v>0.21</v>
      </c>
      <c r="K7" s="90">
        <v>389400</v>
      </c>
    </row>
    <row r="8" spans="2:11" ht="20.25" customHeight="1">
      <c r="B8" s="81">
        <v>4</v>
      </c>
      <c r="C8" s="91">
        <v>34</v>
      </c>
      <c r="D8" s="92">
        <v>76</v>
      </c>
      <c r="E8" s="93">
        <v>236000</v>
      </c>
      <c r="F8" s="94">
        <v>236000</v>
      </c>
      <c r="G8" s="95">
        <v>236000000</v>
      </c>
      <c r="H8" s="96">
        <v>236000000000</v>
      </c>
      <c r="I8" s="97">
        <v>2.1</v>
      </c>
      <c r="J8" s="98">
        <v>2.7888446215139442E-2</v>
      </c>
      <c r="K8" s="99">
        <v>522500</v>
      </c>
    </row>
    <row r="9" spans="2:11" ht="20.25" customHeight="1">
      <c r="B9" s="81">
        <v>5</v>
      </c>
      <c r="C9" s="91">
        <v>56</v>
      </c>
      <c r="D9" s="92">
        <v>56</v>
      </c>
      <c r="E9" s="93">
        <v>123000</v>
      </c>
      <c r="F9" s="94">
        <v>123000</v>
      </c>
      <c r="G9" s="95">
        <v>123000000</v>
      </c>
      <c r="H9" s="96">
        <v>123000000000</v>
      </c>
      <c r="I9" s="97">
        <v>78.06</v>
      </c>
      <c r="J9" s="98">
        <v>1.2</v>
      </c>
      <c r="K9" s="90">
        <v>655600</v>
      </c>
    </row>
    <row r="11" spans="2:11" s="68" customFormat="1" ht="20.149999999999999" customHeight="1" thickBot="1">
      <c r="B11" s="80" t="s">
        <v>139</v>
      </c>
      <c r="C11" s="80" t="s">
        <v>140</v>
      </c>
      <c r="D11" s="80" t="s">
        <v>141</v>
      </c>
      <c r="E11" s="80" t="s">
        <v>142</v>
      </c>
      <c r="F11" s="80" t="s">
        <v>143</v>
      </c>
      <c r="G11" s="80" t="s">
        <v>144</v>
      </c>
      <c r="H11" s="80" t="s">
        <v>145</v>
      </c>
      <c r="I11" s="80" t="s">
        <v>146</v>
      </c>
      <c r="J11" s="80" t="s">
        <v>147</v>
      </c>
      <c r="K11" s="80" t="s">
        <v>148</v>
      </c>
    </row>
    <row r="12" spans="2:11" s="68" customFormat="1" ht="20.149999999999999" customHeight="1" thickTop="1">
      <c r="B12" s="70">
        <v>1</v>
      </c>
      <c r="C12" s="70">
        <v>56</v>
      </c>
      <c r="D12" s="70">
        <v>45</v>
      </c>
      <c r="E12" s="100">
        <v>123000</v>
      </c>
      <c r="F12" s="100">
        <v>123000</v>
      </c>
      <c r="G12" s="100">
        <v>123000000</v>
      </c>
      <c r="H12" s="100">
        <v>123000000000</v>
      </c>
      <c r="I12" s="70">
        <v>123.25</v>
      </c>
      <c r="J12" s="70">
        <v>0.2</v>
      </c>
      <c r="K12" s="101">
        <v>123200</v>
      </c>
    </row>
    <row r="13" spans="2:11" s="68" customFormat="1" ht="20.149999999999999" customHeight="1">
      <c r="B13" s="69">
        <v>2</v>
      </c>
      <c r="C13" s="69">
        <v>40</v>
      </c>
      <c r="D13" s="69">
        <v>90</v>
      </c>
      <c r="E13" s="102">
        <v>230000</v>
      </c>
      <c r="F13" s="102">
        <v>230000</v>
      </c>
      <c r="G13" s="102">
        <v>230000000</v>
      </c>
      <c r="H13" s="102">
        <v>230000000000</v>
      </c>
      <c r="I13" s="69">
        <v>2.6539999999999999</v>
      </c>
      <c r="J13" s="69">
        <v>6.741573033707865E-2</v>
      </c>
      <c r="K13" s="103">
        <v>256300</v>
      </c>
    </row>
    <row r="14" spans="2:11" s="68" customFormat="1" ht="20.149999999999999" customHeight="1">
      <c r="B14" s="69">
        <v>3</v>
      </c>
      <c r="C14" s="69">
        <v>45</v>
      </c>
      <c r="D14" s="69">
        <v>98</v>
      </c>
      <c r="E14" s="102">
        <v>254000</v>
      </c>
      <c r="F14" s="102">
        <v>254000</v>
      </c>
      <c r="G14" s="102">
        <v>254000000</v>
      </c>
      <c r="H14" s="102">
        <v>254000000000</v>
      </c>
      <c r="I14" s="69">
        <v>23.65</v>
      </c>
      <c r="J14" s="69">
        <v>0.21</v>
      </c>
      <c r="K14" s="101">
        <v>389400</v>
      </c>
    </row>
    <row r="15" spans="2:11" s="68" customFormat="1" ht="20.149999999999999" customHeight="1">
      <c r="B15" s="69">
        <v>4</v>
      </c>
      <c r="C15" s="69">
        <v>34</v>
      </c>
      <c r="D15" s="69">
        <v>76</v>
      </c>
      <c r="E15" s="102">
        <v>236000</v>
      </c>
      <c r="F15" s="102">
        <v>236000</v>
      </c>
      <c r="G15" s="102">
        <v>236000000</v>
      </c>
      <c r="H15" s="102">
        <v>236000000000</v>
      </c>
      <c r="I15" s="69">
        <v>2.1</v>
      </c>
      <c r="J15" s="69">
        <v>2.7888446215139442E-2</v>
      </c>
      <c r="K15" s="103">
        <v>522500</v>
      </c>
    </row>
    <row r="16" spans="2:11" s="68" customFormat="1" ht="20.149999999999999" customHeight="1">
      <c r="B16" s="69">
        <v>5</v>
      </c>
      <c r="C16" s="69">
        <v>56</v>
      </c>
      <c r="D16" s="69">
        <v>56</v>
      </c>
      <c r="E16" s="102">
        <v>123000</v>
      </c>
      <c r="F16" s="102">
        <v>123000</v>
      </c>
      <c r="G16" s="102">
        <v>123000000</v>
      </c>
      <c r="H16" s="102">
        <v>123000000000</v>
      </c>
      <c r="I16" s="69">
        <v>78.06</v>
      </c>
      <c r="J16" s="69">
        <v>1.2</v>
      </c>
      <c r="K16" s="101">
        <v>655600</v>
      </c>
    </row>
    <row r="18" spans="2:8" ht="20.149999999999999" customHeight="1"/>
    <row r="19" spans="2:8" ht="20.149999999999999" customHeight="1" thickBot="1">
      <c r="B19" s="104" t="s">
        <v>149</v>
      </c>
      <c r="C19" s="104" t="s">
        <v>150</v>
      </c>
      <c r="D19" s="104" t="s">
        <v>151</v>
      </c>
      <c r="E19" s="104" t="s">
        <v>152</v>
      </c>
      <c r="F19" s="105">
        <v>0</v>
      </c>
      <c r="G19" s="106"/>
      <c r="H19" s="107"/>
    </row>
    <row r="20" spans="2:8" ht="20.149999999999999" customHeight="1" thickTop="1">
      <c r="B20" s="70">
        <v>123.456</v>
      </c>
      <c r="C20" s="108">
        <v>123.456</v>
      </c>
      <c r="D20" s="109">
        <v>123.456</v>
      </c>
      <c r="E20" s="110">
        <v>123.456</v>
      </c>
      <c r="F20" s="111">
        <v>123.456</v>
      </c>
      <c r="G20" s="106"/>
      <c r="H20" s="107"/>
    </row>
    <row r="21" spans="2:8" ht="20.149999999999999" customHeight="1">
      <c r="B21" s="69">
        <v>1.2E-2</v>
      </c>
      <c r="C21" s="112">
        <v>1.2E-2</v>
      </c>
      <c r="D21" s="113">
        <v>1.2E-2</v>
      </c>
      <c r="E21" s="114">
        <v>1.2E-2</v>
      </c>
      <c r="F21" s="115">
        <v>1.2E-2</v>
      </c>
      <c r="G21" s="106"/>
      <c r="H21" s="107"/>
    </row>
    <row r="22" spans="2:8" ht="20.149999999999999" customHeight="1">
      <c r="B22" s="116">
        <v>123.1</v>
      </c>
      <c r="C22" s="112">
        <v>123.1</v>
      </c>
      <c r="D22" s="113">
        <v>123.1</v>
      </c>
      <c r="E22" s="114">
        <v>123.1</v>
      </c>
      <c r="F22" s="115">
        <v>123.1</v>
      </c>
      <c r="G22" s="106"/>
      <c r="H22" s="107"/>
    </row>
    <row r="23" spans="2:8" ht="20.149999999999999" customHeight="1">
      <c r="B23" s="116">
        <v>5</v>
      </c>
      <c r="C23" s="112">
        <v>5</v>
      </c>
      <c r="D23" s="113">
        <v>5</v>
      </c>
      <c r="E23" s="114">
        <v>5</v>
      </c>
      <c r="F23" s="115">
        <v>5</v>
      </c>
      <c r="H23" s="107"/>
    </row>
    <row r="24" spans="2:8" ht="20.149999999999999" customHeight="1"/>
    <row r="25" spans="2:8" ht="20.149999999999999" customHeight="1"/>
  </sheetData>
  <mergeCells count="1">
    <mergeCell ref="B2:J2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33"/>
  <sheetViews>
    <sheetView zoomScaleNormal="100" workbookViewId="0">
      <selection activeCell="F24" sqref="F24"/>
    </sheetView>
  </sheetViews>
  <sheetFormatPr defaultColWidth="9" defaultRowHeight="17.5"/>
  <cols>
    <col min="1" max="1" width="2.5" style="49" customWidth="1"/>
    <col min="2" max="2" width="9" style="49"/>
    <col min="3" max="3" width="17.5" style="49" customWidth="1"/>
    <col min="4" max="4" width="39.5" style="50" customWidth="1"/>
    <col min="5" max="6" width="9" style="49"/>
    <col min="7" max="7" width="22.5" style="49" customWidth="1"/>
    <col min="8" max="16384" width="9" style="49"/>
  </cols>
  <sheetData>
    <row r="1" spans="2:7" ht="9.75" customHeight="1"/>
    <row r="2" spans="2:7" ht="30" customHeight="1">
      <c r="B2" s="172" t="s">
        <v>122</v>
      </c>
      <c r="C2" s="172"/>
      <c r="D2" s="172"/>
    </row>
    <row r="3" spans="2:7" s="54" customFormat="1" ht="16.5">
      <c r="B3" s="173" t="s">
        <v>121</v>
      </c>
      <c r="C3" s="173"/>
      <c r="D3" s="173"/>
    </row>
    <row r="4" spans="2:7" ht="15.75" customHeight="1">
      <c r="B4" s="67"/>
      <c r="C4" s="67"/>
      <c r="D4" s="67"/>
    </row>
    <row r="5" spans="2:7" ht="24" customHeight="1" thickBot="1">
      <c r="B5" s="66" t="s">
        <v>120</v>
      </c>
      <c r="C5" s="66" t="s">
        <v>119</v>
      </c>
      <c r="D5" s="66" t="s">
        <v>118</v>
      </c>
    </row>
    <row r="6" spans="2:7" ht="23.15" customHeight="1" thickTop="1">
      <c r="B6" s="65" t="s">
        <v>117</v>
      </c>
      <c r="C6" s="65" t="s">
        <v>116</v>
      </c>
      <c r="D6" s="64" t="s">
        <v>115</v>
      </c>
    </row>
    <row r="7" spans="2:7" ht="23.15" customHeight="1">
      <c r="B7" s="51" t="s">
        <v>114</v>
      </c>
      <c r="C7" s="51" t="s">
        <v>113</v>
      </c>
      <c r="D7" s="56" t="s">
        <v>112</v>
      </c>
      <c r="G7" s="63"/>
    </row>
    <row r="8" spans="2:7" ht="23.15" customHeight="1">
      <c r="B8" s="51" t="s">
        <v>111</v>
      </c>
      <c r="C8" s="51" t="s">
        <v>0</v>
      </c>
      <c r="D8" s="56" t="s">
        <v>110</v>
      </c>
      <c r="G8" s="62"/>
    </row>
    <row r="9" spans="2:7" ht="23.15" customHeight="1">
      <c r="B9" s="51" t="s">
        <v>109</v>
      </c>
      <c r="C9" s="51" t="s">
        <v>108</v>
      </c>
      <c r="D9" s="56" t="s">
        <v>107</v>
      </c>
    </row>
    <row r="10" spans="2:7" ht="23.15" customHeight="1">
      <c r="B10" s="51" t="s">
        <v>106</v>
      </c>
      <c r="C10" s="51" t="s">
        <v>105</v>
      </c>
      <c r="D10" s="56" t="s">
        <v>104</v>
      </c>
    </row>
    <row r="11" spans="2:7" ht="23.15" customHeight="1">
      <c r="B11" s="51" t="s">
        <v>103</v>
      </c>
      <c r="C11" s="51" t="s">
        <v>102</v>
      </c>
      <c r="D11" s="56" t="s">
        <v>101</v>
      </c>
    </row>
    <row r="12" spans="2:7" ht="23.15" customHeight="1">
      <c r="B12" s="51" t="s">
        <v>100</v>
      </c>
      <c r="C12" s="51" t="s">
        <v>99</v>
      </c>
      <c r="D12" s="61" t="s">
        <v>98</v>
      </c>
      <c r="F12" s="59"/>
    </row>
    <row r="13" spans="2:7" ht="23.15" customHeight="1">
      <c r="B13" s="51" t="s">
        <v>97</v>
      </c>
      <c r="C13" s="51" t="s">
        <v>96</v>
      </c>
      <c r="D13" s="56" t="s">
        <v>95</v>
      </c>
      <c r="F13" s="59"/>
    </row>
    <row r="14" spans="2:7" ht="23.15" customHeight="1">
      <c r="B14" s="51" t="s">
        <v>94</v>
      </c>
      <c r="C14" s="51" t="s">
        <v>93</v>
      </c>
      <c r="D14" s="56" t="s">
        <v>92</v>
      </c>
      <c r="F14" s="59"/>
    </row>
    <row r="15" spans="2:7" ht="23.15" customHeight="1">
      <c r="B15" s="51" t="s">
        <v>91</v>
      </c>
      <c r="C15" s="51" t="s">
        <v>90</v>
      </c>
      <c r="D15" s="56" t="s">
        <v>89</v>
      </c>
      <c r="F15" s="59"/>
      <c r="G15" s="60"/>
    </row>
    <row r="16" spans="2:7" ht="23.15" customHeight="1">
      <c r="B16" s="51" t="s">
        <v>88</v>
      </c>
      <c r="C16" s="51" t="s">
        <v>87</v>
      </c>
      <c r="D16" s="56" t="s">
        <v>86</v>
      </c>
      <c r="F16" s="59"/>
      <c r="G16" s="60"/>
    </row>
    <row r="17" spans="2:7" ht="23.15" customHeight="1">
      <c r="B17" s="51" t="s">
        <v>85</v>
      </c>
      <c r="C17" s="51" t="s">
        <v>84</v>
      </c>
      <c r="D17" s="56" t="s">
        <v>83</v>
      </c>
      <c r="F17" s="59"/>
      <c r="G17" s="58"/>
    </row>
    <row r="18" spans="2:7" ht="23.15" customHeight="1">
      <c r="B18" s="51" t="s">
        <v>82</v>
      </c>
      <c r="C18" s="51" t="s">
        <v>81</v>
      </c>
      <c r="D18" s="56" t="s">
        <v>80</v>
      </c>
    </row>
    <row r="19" spans="2:7" ht="23.15" customHeight="1">
      <c r="B19" s="51" t="s">
        <v>79</v>
      </c>
      <c r="C19" s="51" t="s">
        <v>78</v>
      </c>
      <c r="D19" s="56" t="s">
        <v>77</v>
      </c>
    </row>
    <row r="20" spans="2:7" ht="23.15" customHeight="1">
      <c r="B20" s="51" t="s">
        <v>76</v>
      </c>
      <c r="C20" s="51" t="s">
        <v>75</v>
      </c>
      <c r="D20" s="56" t="s">
        <v>74</v>
      </c>
    </row>
    <row r="21" spans="2:7" ht="23.15" customHeight="1">
      <c r="B21" s="51" t="s">
        <v>73</v>
      </c>
      <c r="C21" s="51" t="s">
        <v>72</v>
      </c>
      <c r="D21" s="56" t="s">
        <v>71</v>
      </c>
    </row>
    <row r="22" spans="2:7" ht="23.15" customHeight="1">
      <c r="B22" s="51" t="s">
        <v>70</v>
      </c>
      <c r="C22" s="51" t="s">
        <v>69</v>
      </c>
      <c r="D22" s="56" t="s">
        <v>68</v>
      </c>
      <c r="G22" s="57"/>
    </row>
    <row r="23" spans="2:7" ht="23.15" customHeight="1">
      <c r="B23" s="51" t="s">
        <v>67</v>
      </c>
      <c r="C23" s="51" t="s">
        <v>66</v>
      </c>
      <c r="D23" s="56" t="s">
        <v>65</v>
      </c>
    </row>
    <row r="25" spans="2:7">
      <c r="B25" s="173" t="s">
        <v>64</v>
      </c>
      <c r="C25" s="173"/>
      <c r="D25" s="173"/>
      <c r="E25" s="55"/>
    </row>
    <row r="26" spans="2:7" s="54" customFormat="1" ht="16.5">
      <c r="B26" s="173" t="s">
        <v>63</v>
      </c>
      <c r="C26" s="173"/>
      <c r="D26" s="173"/>
      <c r="E26" s="173"/>
    </row>
    <row r="27" spans="2:7">
      <c r="B27" s="174"/>
      <c r="C27" s="174"/>
    </row>
    <row r="28" spans="2:7">
      <c r="B28" s="173" t="s">
        <v>123</v>
      </c>
      <c r="C28" s="173"/>
      <c r="D28" s="173"/>
    </row>
    <row r="29" spans="2:7">
      <c r="B29" s="53" t="s">
        <v>62</v>
      </c>
      <c r="C29" s="51" t="s">
        <v>53</v>
      </c>
      <c r="D29" s="51" t="s">
        <v>61</v>
      </c>
    </row>
    <row r="30" spans="2:7">
      <c r="B30" s="52" t="s">
        <v>60</v>
      </c>
      <c r="C30" s="51" t="s">
        <v>53</v>
      </c>
      <c r="D30" s="51" t="s">
        <v>59</v>
      </c>
    </row>
    <row r="31" spans="2:7">
      <c r="B31" s="51" t="s">
        <v>58</v>
      </c>
      <c r="C31" s="51" t="s">
        <v>53</v>
      </c>
      <c r="D31" s="51" t="s">
        <v>57</v>
      </c>
    </row>
    <row r="32" spans="2:7">
      <c r="B32" s="51" t="s">
        <v>56</v>
      </c>
      <c r="C32" s="51" t="s">
        <v>53</v>
      </c>
      <c r="D32" s="51" t="s">
        <v>55</v>
      </c>
    </row>
    <row r="33" spans="2:4">
      <c r="B33" s="51" t="s">
        <v>54</v>
      </c>
      <c r="C33" s="51" t="s">
        <v>53</v>
      </c>
      <c r="D33" s="51" t="s">
        <v>52</v>
      </c>
    </row>
  </sheetData>
  <mergeCells count="6">
    <mergeCell ref="B2:D2"/>
    <mergeCell ref="B3:D3"/>
    <mergeCell ref="B28:D28"/>
    <mergeCell ref="B25:D25"/>
    <mergeCell ref="B27:C27"/>
    <mergeCell ref="B26:E26"/>
  </mergeCells>
  <phoneticPr fontId="1" type="noConversion"/>
  <pageMargins left="0.92" right="0.75" top="1" bottom="1" header="0.5" footer="0.5"/>
  <pageSetup paperSize="9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B2:H47"/>
  <sheetViews>
    <sheetView zoomScaleNormal="100" workbookViewId="0">
      <selection activeCell="E28" sqref="E28"/>
    </sheetView>
  </sheetViews>
  <sheetFormatPr defaultColWidth="9" defaultRowHeight="17"/>
  <cols>
    <col min="1" max="1" width="1.08203125" style="1" customWidth="1"/>
    <col min="2" max="2" width="19.6640625" style="1" customWidth="1"/>
    <col min="3" max="3" width="26.58203125" style="1" customWidth="1"/>
    <col min="4" max="4" width="36.33203125" style="1" customWidth="1"/>
    <col min="5" max="5" width="22.6640625" style="1" customWidth="1"/>
    <col min="6" max="6" width="9" style="1"/>
    <col min="7" max="7" width="12" style="1" customWidth="1"/>
    <col min="8" max="16384" width="9" style="1"/>
  </cols>
  <sheetData>
    <row r="2" spans="2:8" s="2" customFormat="1" ht="15.75" customHeight="1">
      <c r="B2" s="4" t="s">
        <v>2</v>
      </c>
      <c r="C2" s="4" t="s">
        <v>1</v>
      </c>
      <c r="D2" s="4" t="s">
        <v>3</v>
      </c>
      <c r="E2" s="1"/>
    </row>
    <row r="3" spans="2:8" s="2" customFormat="1" ht="15.75" customHeight="1">
      <c r="B3" s="5" t="s">
        <v>4</v>
      </c>
      <c r="C3" s="6">
        <v>1000</v>
      </c>
      <c r="D3" s="6">
        <v>1000</v>
      </c>
      <c r="E3" s="1"/>
    </row>
    <row r="4" spans="2:8" s="2" customFormat="1" ht="15.75" customHeight="1">
      <c r="B4" s="5" t="s">
        <v>5</v>
      </c>
      <c r="C4" s="6">
        <v>-20000</v>
      </c>
      <c r="D4" s="3">
        <v>-20000</v>
      </c>
      <c r="E4" s="1"/>
    </row>
    <row r="5" spans="2:8" s="2" customFormat="1" ht="15.75" customHeight="1">
      <c r="B5" s="5" t="s">
        <v>6</v>
      </c>
      <c r="C5" s="6">
        <v>5000000</v>
      </c>
      <c r="D5" s="7">
        <v>5000000</v>
      </c>
      <c r="E5" s="1"/>
    </row>
    <row r="6" spans="2:8" s="2" customFormat="1" ht="15.75" customHeight="1">
      <c r="B6" s="5" t="s">
        <v>7</v>
      </c>
      <c r="C6" s="6">
        <v>1000000</v>
      </c>
      <c r="D6" s="8">
        <v>1000000</v>
      </c>
      <c r="E6" s="1"/>
    </row>
    <row r="7" spans="2:8" s="2" customFormat="1" ht="15.5" customHeight="1">
      <c r="B7" s="5" t="s">
        <v>393</v>
      </c>
      <c r="C7" s="9">
        <v>40169</v>
      </c>
      <c r="D7" s="10">
        <v>40169</v>
      </c>
      <c r="E7" s="1"/>
      <c r="G7" s="72"/>
    </row>
    <row r="8" spans="2:8" s="2" customFormat="1" ht="15.75" customHeight="1">
      <c r="B8" s="5" t="s">
        <v>8</v>
      </c>
      <c r="C8" s="6">
        <v>0.15</v>
      </c>
      <c r="D8" s="11">
        <v>0.15</v>
      </c>
      <c r="E8" s="1"/>
    </row>
    <row r="9" spans="2:8" s="2" customFormat="1" ht="15.75" customHeight="1">
      <c r="B9" s="5" t="s">
        <v>9</v>
      </c>
      <c r="C9" s="6">
        <v>0.2</v>
      </c>
      <c r="D9" s="12">
        <v>0.2</v>
      </c>
      <c r="E9" s="1"/>
    </row>
    <row r="10" spans="2:8" s="2" customFormat="1" ht="15.75" customHeight="1">
      <c r="B10" s="5" t="s">
        <v>10</v>
      </c>
      <c r="C10" s="6">
        <v>12500000</v>
      </c>
      <c r="D10" s="13">
        <v>12500000</v>
      </c>
      <c r="E10" s="1"/>
    </row>
    <row r="11" spans="2:8">
      <c r="B11" s="5" t="s">
        <v>11</v>
      </c>
      <c r="C11" s="6">
        <v>1500</v>
      </c>
      <c r="D11" s="14">
        <v>1500</v>
      </c>
      <c r="G11" s="2"/>
      <c r="H11" s="2"/>
    </row>
    <row r="12" spans="2:8">
      <c r="G12" s="2"/>
      <c r="H12" s="2"/>
    </row>
    <row r="13" spans="2:8" ht="15.75" customHeight="1">
      <c r="B13" s="4" t="s">
        <v>12</v>
      </c>
      <c r="C13" s="4" t="s">
        <v>1</v>
      </c>
      <c r="D13" s="4" t="s">
        <v>3</v>
      </c>
      <c r="G13" s="2"/>
      <c r="H13" s="2"/>
    </row>
    <row r="14" spans="2:8" ht="15.75" customHeight="1">
      <c r="B14" s="15" t="s">
        <v>13</v>
      </c>
      <c r="C14" s="16">
        <v>120000</v>
      </c>
      <c r="D14" s="17">
        <v>120000</v>
      </c>
      <c r="G14" s="71"/>
      <c r="H14" s="2"/>
    </row>
    <row r="15" spans="2:8" ht="15.75" customHeight="1">
      <c r="B15" s="15" t="s">
        <v>14</v>
      </c>
      <c r="C15" s="16">
        <v>120000</v>
      </c>
      <c r="D15" s="18">
        <v>120000</v>
      </c>
      <c r="G15" s="71"/>
    </row>
    <row r="16" spans="2:8" ht="15.75" customHeight="1">
      <c r="B16" s="175" t="s">
        <v>15</v>
      </c>
      <c r="C16" s="178">
        <v>-120000</v>
      </c>
      <c r="D16" s="19">
        <v>-120000</v>
      </c>
    </row>
    <row r="17" spans="2:4">
      <c r="B17" s="176"/>
      <c r="C17" s="179"/>
      <c r="D17" s="20">
        <v>-120000</v>
      </c>
    </row>
    <row r="18" spans="2:4">
      <c r="B18" s="176"/>
      <c r="C18" s="179"/>
      <c r="D18" s="21">
        <v>-120000</v>
      </c>
    </row>
    <row r="19" spans="2:4">
      <c r="B19" s="176"/>
      <c r="C19" s="179"/>
      <c r="D19" s="18">
        <v>-120000</v>
      </c>
    </row>
    <row r="20" spans="2:4">
      <c r="B20" s="177"/>
      <c r="C20" s="180"/>
      <c r="D20" s="22">
        <v>-120000</v>
      </c>
    </row>
    <row r="22" spans="2:4">
      <c r="B22" s="4" t="s">
        <v>16</v>
      </c>
      <c r="C22" s="4" t="s">
        <v>1</v>
      </c>
      <c r="D22" s="4" t="s">
        <v>17</v>
      </c>
    </row>
    <row r="23" spans="2:4">
      <c r="B23" s="5" t="s">
        <v>18</v>
      </c>
      <c r="C23" s="6">
        <v>200000</v>
      </c>
      <c r="D23" s="23">
        <v>200000</v>
      </c>
    </row>
    <row r="24" spans="2:4">
      <c r="B24" s="5" t="s">
        <v>19</v>
      </c>
      <c r="C24" s="6">
        <v>500</v>
      </c>
      <c r="D24" s="24">
        <v>500</v>
      </c>
    </row>
    <row r="25" spans="2:4">
      <c r="B25" s="5" t="s">
        <v>20</v>
      </c>
      <c r="C25" s="6">
        <v>500</v>
      </c>
      <c r="D25" s="25">
        <v>500</v>
      </c>
    </row>
    <row r="26" spans="2:4">
      <c r="B26" s="5" t="s">
        <v>21</v>
      </c>
      <c r="C26" s="6">
        <v>2000</v>
      </c>
      <c r="D26" s="26">
        <v>2000</v>
      </c>
    </row>
    <row r="27" spans="2:4">
      <c r="B27" s="5" t="s">
        <v>22</v>
      </c>
      <c r="C27" s="6">
        <v>10000</v>
      </c>
      <c r="D27" s="27">
        <v>30000</v>
      </c>
    </row>
    <row r="28" spans="2:4">
      <c r="B28" s="5" t="s">
        <v>23</v>
      </c>
      <c r="C28" s="6">
        <v>100</v>
      </c>
      <c r="D28" s="28">
        <v>100</v>
      </c>
    </row>
    <row r="30" spans="2:4">
      <c r="B30" s="4" t="s">
        <v>24</v>
      </c>
      <c r="C30" s="4" t="s">
        <v>1</v>
      </c>
      <c r="D30" s="4" t="s">
        <v>3</v>
      </c>
    </row>
    <row r="31" spans="2:4">
      <c r="B31" s="5" t="s">
        <v>25</v>
      </c>
      <c r="C31" s="9">
        <v>40169</v>
      </c>
      <c r="D31" s="10">
        <v>40169</v>
      </c>
    </row>
    <row r="32" spans="2:4">
      <c r="B32" s="5" t="s">
        <v>26</v>
      </c>
      <c r="C32" s="9">
        <v>40169</v>
      </c>
      <c r="D32" s="29">
        <v>40169</v>
      </c>
    </row>
    <row r="33" spans="2:5">
      <c r="B33" s="30" t="s">
        <v>27</v>
      </c>
      <c r="C33" s="9">
        <v>40169</v>
      </c>
      <c r="D33" s="31">
        <v>40169</v>
      </c>
    </row>
    <row r="34" spans="2:5">
      <c r="B34" s="5" t="s">
        <v>28</v>
      </c>
      <c r="C34" s="9">
        <v>40169</v>
      </c>
      <c r="D34" s="32">
        <v>40169</v>
      </c>
    </row>
    <row r="35" spans="2:5">
      <c r="B35" s="5" t="s">
        <v>29</v>
      </c>
      <c r="C35" s="9">
        <v>40169</v>
      </c>
      <c r="D35" s="33">
        <v>40169</v>
      </c>
    </row>
    <row r="36" spans="2:5">
      <c r="B36" s="5" t="s">
        <v>25</v>
      </c>
      <c r="C36" s="9">
        <v>40169</v>
      </c>
      <c r="D36" s="34">
        <v>40169</v>
      </c>
    </row>
    <row r="38" spans="2:5">
      <c r="B38" s="4" t="s">
        <v>30</v>
      </c>
      <c r="C38" s="4" t="s">
        <v>1</v>
      </c>
      <c r="D38" s="4" t="s">
        <v>3</v>
      </c>
    </row>
    <row r="39" spans="2:5">
      <c r="B39" s="5" t="s">
        <v>31</v>
      </c>
      <c r="C39" s="6">
        <v>120180</v>
      </c>
      <c r="D39" s="35">
        <v>120180</v>
      </c>
    </row>
    <row r="40" spans="2:5">
      <c r="B40" s="5" t="s">
        <v>32</v>
      </c>
      <c r="C40" s="6">
        <v>3142001212</v>
      </c>
      <c r="D40" s="36">
        <v>3142001212</v>
      </c>
    </row>
    <row r="41" spans="2:5">
      <c r="B41" s="5" t="s">
        <v>33</v>
      </c>
      <c r="C41" s="6">
        <v>632003131</v>
      </c>
      <c r="D41" s="37">
        <v>632003131</v>
      </c>
    </row>
    <row r="42" spans="2:5">
      <c r="B42" s="219" t="s">
        <v>34</v>
      </c>
      <c r="C42" s="220">
        <v>8001011234567</v>
      </c>
      <c r="D42" s="221">
        <v>8001011234567</v>
      </c>
    </row>
    <row r="43" spans="2:5">
      <c r="B43" s="228"/>
      <c r="C43" s="229"/>
      <c r="D43" s="230"/>
      <c r="E43" s="227"/>
    </row>
    <row r="44" spans="2:5">
      <c r="B44" s="222"/>
      <c r="C44" s="223"/>
      <c r="D44" s="225"/>
      <c r="E44" s="227"/>
    </row>
    <row r="45" spans="2:5">
      <c r="B45" s="222"/>
      <c r="C45" s="223"/>
      <c r="D45" s="226"/>
      <c r="E45" s="227"/>
    </row>
    <row r="46" spans="2:5">
      <c r="B46" s="224"/>
      <c r="C46" s="224"/>
      <c r="D46" s="224"/>
      <c r="E46" s="227"/>
    </row>
    <row r="47" spans="2:5">
      <c r="B47" s="224"/>
      <c r="C47" s="224"/>
      <c r="D47" s="224"/>
      <c r="E47" s="227"/>
    </row>
  </sheetData>
  <mergeCells count="2">
    <mergeCell ref="B16:B20"/>
    <mergeCell ref="C16:C20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2:I29"/>
  <sheetViews>
    <sheetView workbookViewId="0">
      <selection activeCell="D31" sqref="D31"/>
    </sheetView>
  </sheetViews>
  <sheetFormatPr defaultColWidth="9" defaultRowHeight="14"/>
  <cols>
    <col min="1" max="1" width="1.83203125" style="117" customWidth="1"/>
    <col min="2" max="6" width="9" style="117"/>
    <col min="7" max="7" width="13" style="117" bestFit="1" customWidth="1"/>
    <col min="8" max="8" width="11.1640625" style="117" bestFit="1" customWidth="1"/>
    <col min="9" max="9" width="13" style="117" bestFit="1" customWidth="1"/>
    <col min="10" max="11" width="9" style="117"/>
    <col min="12" max="12" width="12.5" style="117" bestFit="1" customWidth="1"/>
    <col min="13" max="16384" width="9" style="117"/>
  </cols>
  <sheetData>
    <row r="2" spans="2:9" ht="17">
      <c r="B2" s="181" t="s">
        <v>187</v>
      </c>
      <c r="C2" s="181"/>
      <c r="D2" s="181"/>
      <c r="E2" s="181"/>
      <c r="F2" s="181"/>
      <c r="G2" s="181"/>
      <c r="H2" s="181"/>
      <c r="I2" s="181"/>
    </row>
    <row r="3" spans="2:9">
      <c r="I3" s="132"/>
    </row>
    <row r="4" spans="2:9">
      <c r="B4" s="131" t="s">
        <v>186</v>
      </c>
      <c r="C4" s="130" t="s">
        <v>185</v>
      </c>
      <c r="D4" s="130" t="s">
        <v>184</v>
      </c>
      <c r="E4" s="131" t="s">
        <v>183</v>
      </c>
      <c r="F4" s="131" t="s">
        <v>182</v>
      </c>
      <c r="G4" s="131" t="s">
        <v>181</v>
      </c>
      <c r="H4" s="130" t="s">
        <v>180</v>
      </c>
      <c r="I4" s="130" t="s">
        <v>179</v>
      </c>
    </row>
    <row r="5" spans="2:9">
      <c r="B5" s="119" t="s">
        <v>178</v>
      </c>
      <c r="C5" s="119" t="s">
        <v>163</v>
      </c>
      <c r="D5" s="129">
        <v>25000</v>
      </c>
      <c r="E5" s="128">
        <f t="shared" ref="E5:E13" si="0">D5*VLOOKUP(C5,$B$17:$C$19,2,FALSE)</f>
        <v>2500</v>
      </c>
      <c r="F5" s="128">
        <v>3</v>
      </c>
      <c r="G5" s="128">
        <v>0</v>
      </c>
      <c r="H5" s="127">
        <f t="shared" ref="H5:H13" si="1">(D5-E5+G5)*0.1</f>
        <v>2250</v>
      </c>
      <c r="I5" s="126">
        <f t="shared" ref="I5:I13" si="2">D5-E5+G5+H5</f>
        <v>24750</v>
      </c>
    </row>
    <row r="6" spans="2:9">
      <c r="B6" s="119" t="s">
        <v>177</v>
      </c>
      <c r="C6" s="119" t="s">
        <v>163</v>
      </c>
      <c r="D6" s="129">
        <v>25000</v>
      </c>
      <c r="E6" s="128">
        <f t="shared" si="0"/>
        <v>2500</v>
      </c>
      <c r="F6" s="128">
        <v>1</v>
      </c>
      <c r="G6" s="128">
        <v>5000</v>
      </c>
      <c r="H6" s="127">
        <f t="shared" si="1"/>
        <v>2750</v>
      </c>
      <c r="I6" s="126">
        <f t="shared" si="2"/>
        <v>30250</v>
      </c>
    </row>
    <row r="7" spans="2:9">
      <c r="B7" s="119" t="s">
        <v>176</v>
      </c>
      <c r="C7" s="119" t="s">
        <v>164</v>
      </c>
      <c r="D7" s="129">
        <v>32000</v>
      </c>
      <c r="E7" s="128">
        <f t="shared" si="0"/>
        <v>3840</v>
      </c>
      <c r="F7" s="128">
        <v>2</v>
      </c>
      <c r="G7" s="128">
        <v>2000</v>
      </c>
      <c r="H7" s="127">
        <f t="shared" si="1"/>
        <v>3016</v>
      </c>
      <c r="I7" s="126">
        <f t="shared" si="2"/>
        <v>33176</v>
      </c>
    </row>
    <row r="8" spans="2:9">
      <c r="B8" s="119" t="s">
        <v>175</v>
      </c>
      <c r="C8" s="119" t="s">
        <v>163</v>
      </c>
      <c r="D8" s="129">
        <v>25000</v>
      </c>
      <c r="E8" s="128">
        <f t="shared" si="0"/>
        <v>2500</v>
      </c>
      <c r="F8" s="128">
        <v>0</v>
      </c>
      <c r="G8" s="128">
        <v>8000</v>
      </c>
      <c r="H8" s="127">
        <f t="shared" si="1"/>
        <v>3050</v>
      </c>
      <c r="I8" s="126">
        <f t="shared" si="2"/>
        <v>33550</v>
      </c>
    </row>
    <row r="9" spans="2:9">
      <c r="B9" s="119" t="s">
        <v>174</v>
      </c>
      <c r="C9" s="119" t="s">
        <v>165</v>
      </c>
      <c r="D9" s="129">
        <v>45000</v>
      </c>
      <c r="E9" s="128">
        <f t="shared" si="0"/>
        <v>6750</v>
      </c>
      <c r="F9" s="128">
        <v>2</v>
      </c>
      <c r="G9" s="128">
        <v>2000</v>
      </c>
      <c r="H9" s="127">
        <f t="shared" si="1"/>
        <v>4025</v>
      </c>
      <c r="I9" s="126">
        <f t="shared" si="2"/>
        <v>44275</v>
      </c>
    </row>
    <row r="10" spans="2:9">
      <c r="B10" s="119" t="s">
        <v>173</v>
      </c>
      <c r="C10" s="119" t="s">
        <v>164</v>
      </c>
      <c r="D10" s="129">
        <v>32000</v>
      </c>
      <c r="E10" s="128">
        <f t="shared" si="0"/>
        <v>3840</v>
      </c>
      <c r="F10" s="128">
        <v>1</v>
      </c>
      <c r="G10" s="128">
        <v>5000</v>
      </c>
      <c r="H10" s="127">
        <f t="shared" si="1"/>
        <v>3316</v>
      </c>
      <c r="I10" s="126">
        <f t="shared" si="2"/>
        <v>36476</v>
      </c>
    </row>
    <row r="11" spans="2:9">
      <c r="B11" s="119" t="s">
        <v>172</v>
      </c>
      <c r="C11" s="119" t="s">
        <v>164</v>
      </c>
      <c r="D11" s="129">
        <v>32000</v>
      </c>
      <c r="E11" s="128">
        <f t="shared" si="0"/>
        <v>3840</v>
      </c>
      <c r="F11" s="128">
        <v>0</v>
      </c>
      <c r="G11" s="128">
        <v>8000</v>
      </c>
      <c r="H11" s="127">
        <f t="shared" si="1"/>
        <v>3616</v>
      </c>
      <c r="I11" s="126">
        <f t="shared" si="2"/>
        <v>39776</v>
      </c>
    </row>
    <row r="12" spans="2:9">
      <c r="B12" s="119" t="s">
        <v>171</v>
      </c>
      <c r="C12" s="119" t="s">
        <v>165</v>
      </c>
      <c r="D12" s="129">
        <v>45000</v>
      </c>
      <c r="E12" s="128">
        <f t="shared" si="0"/>
        <v>6750</v>
      </c>
      <c r="F12" s="128">
        <v>3</v>
      </c>
      <c r="G12" s="128">
        <v>0</v>
      </c>
      <c r="H12" s="127">
        <f t="shared" si="1"/>
        <v>3825</v>
      </c>
      <c r="I12" s="126">
        <f t="shared" si="2"/>
        <v>42075</v>
      </c>
    </row>
    <row r="13" spans="2:9">
      <c r="B13" s="119" t="s">
        <v>170</v>
      </c>
      <c r="C13" s="119" t="s">
        <v>163</v>
      </c>
      <c r="D13" s="129">
        <v>25000</v>
      </c>
      <c r="E13" s="128">
        <f t="shared" si="0"/>
        <v>2500</v>
      </c>
      <c r="F13" s="128">
        <v>2</v>
      </c>
      <c r="G13" s="128">
        <v>2000</v>
      </c>
      <c r="H13" s="127">
        <f t="shared" si="1"/>
        <v>2450</v>
      </c>
      <c r="I13" s="126">
        <f t="shared" si="2"/>
        <v>26950</v>
      </c>
    </row>
    <row r="14" spans="2:9">
      <c r="B14" s="125"/>
      <c r="C14" s="125"/>
      <c r="D14" s="124"/>
      <c r="E14" s="123"/>
      <c r="F14" s="123"/>
      <c r="G14" s="123"/>
      <c r="H14" s="122" t="s">
        <v>169</v>
      </c>
      <c r="I14" s="121">
        <f>SUM(I5:I13)</f>
        <v>311278</v>
      </c>
    </row>
    <row r="15" spans="2:9">
      <c r="B15" s="120"/>
      <c r="C15" s="120"/>
    </row>
    <row r="16" spans="2:9">
      <c r="B16" s="182" t="s">
        <v>168</v>
      </c>
      <c r="C16" s="183"/>
    </row>
    <row r="17" spans="2:8">
      <c r="B17" s="119" t="s">
        <v>165</v>
      </c>
      <c r="C17" s="118">
        <v>0.15</v>
      </c>
    </row>
    <row r="18" spans="2:8">
      <c r="B18" s="119" t="s">
        <v>164</v>
      </c>
      <c r="C18" s="118">
        <v>0.12</v>
      </c>
    </row>
    <row r="19" spans="2:8">
      <c r="B19" s="119" t="s">
        <v>163</v>
      </c>
      <c r="C19" s="118">
        <v>0.1</v>
      </c>
    </row>
    <row r="21" spans="2:8">
      <c r="B21" s="182" t="s">
        <v>167</v>
      </c>
      <c r="C21" s="183"/>
    </row>
    <row r="22" spans="2:8">
      <c r="B22" s="119" t="s">
        <v>165</v>
      </c>
      <c r="C22" s="118">
        <v>0.18</v>
      </c>
    </row>
    <row r="23" spans="2:8">
      <c r="B23" s="119" t="s">
        <v>164</v>
      </c>
      <c r="C23" s="118">
        <v>0.15</v>
      </c>
      <c r="H23" s="120"/>
    </row>
    <row r="24" spans="2:8">
      <c r="B24" s="119" t="s">
        <v>163</v>
      </c>
      <c r="C24" s="118">
        <v>0.12</v>
      </c>
    </row>
    <row r="26" spans="2:8">
      <c r="B26" s="182" t="s">
        <v>166</v>
      </c>
      <c r="C26" s="183"/>
    </row>
    <row r="27" spans="2:8">
      <c r="B27" s="119" t="s">
        <v>165</v>
      </c>
      <c r="C27" s="118">
        <v>0.12</v>
      </c>
    </row>
    <row r="28" spans="2:8">
      <c r="B28" s="119" t="s">
        <v>164</v>
      </c>
      <c r="C28" s="118">
        <v>0.1</v>
      </c>
    </row>
    <row r="29" spans="2:8">
      <c r="B29" s="119" t="s">
        <v>163</v>
      </c>
      <c r="C29" s="118">
        <v>0.08</v>
      </c>
    </row>
  </sheetData>
  <mergeCells count="4">
    <mergeCell ref="B2:I2"/>
    <mergeCell ref="B16:C16"/>
    <mergeCell ref="B21:C21"/>
    <mergeCell ref="B26:C26"/>
  </mergeCells>
  <phoneticPr fontId="1" type="noConversion"/>
  <conditionalFormatting sqref="I3">
    <cfRule type="cellIs" dxfId="0" priority="1" stopIfTrue="1" operator="greaterThanOrEqual">
      <formula>10000</formula>
    </cfRule>
  </conditionalFormatting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J117"/>
  <sheetViews>
    <sheetView workbookViewId="0">
      <selection activeCell="J3" sqref="J3"/>
    </sheetView>
  </sheetViews>
  <sheetFormatPr defaultRowHeight="14"/>
  <cols>
    <col min="1" max="1" width="2" style="75" customWidth="1"/>
    <col min="2" max="2" width="9" style="75"/>
    <col min="3" max="6" width="13" style="75" bestFit="1" customWidth="1"/>
    <col min="7" max="7" width="9" style="75"/>
    <col min="8" max="9" width="11.08203125" style="75" bestFit="1" customWidth="1"/>
    <col min="10" max="10" width="15" style="75" bestFit="1" customWidth="1"/>
    <col min="11" max="256" width="9" style="75"/>
    <col min="257" max="257" width="2" style="75" customWidth="1"/>
    <col min="258" max="258" width="9" style="75"/>
    <col min="259" max="262" width="13" style="75" bestFit="1" customWidth="1"/>
    <col min="263" max="263" width="9" style="75"/>
    <col min="264" max="265" width="11.08203125" style="75" bestFit="1" customWidth="1"/>
    <col min="266" max="266" width="15" style="75" bestFit="1" customWidth="1"/>
    <col min="267" max="512" width="9" style="75"/>
    <col min="513" max="513" width="2" style="75" customWidth="1"/>
    <col min="514" max="514" width="9" style="75"/>
    <col min="515" max="518" width="13" style="75" bestFit="1" customWidth="1"/>
    <col min="519" max="519" width="9" style="75"/>
    <col min="520" max="521" width="11.08203125" style="75" bestFit="1" customWidth="1"/>
    <col min="522" max="522" width="15" style="75" bestFit="1" customWidth="1"/>
    <col min="523" max="768" width="9" style="75"/>
    <col min="769" max="769" width="2" style="75" customWidth="1"/>
    <col min="770" max="770" width="9" style="75"/>
    <col min="771" max="774" width="13" style="75" bestFit="1" customWidth="1"/>
    <col min="775" max="775" width="9" style="75"/>
    <col min="776" max="777" width="11.08203125" style="75" bestFit="1" customWidth="1"/>
    <col min="778" max="778" width="15" style="75" bestFit="1" customWidth="1"/>
    <col min="779" max="1024" width="9" style="75"/>
    <col min="1025" max="1025" width="2" style="75" customWidth="1"/>
    <col min="1026" max="1026" width="9" style="75"/>
    <col min="1027" max="1030" width="13" style="75" bestFit="1" customWidth="1"/>
    <col min="1031" max="1031" width="9" style="75"/>
    <col min="1032" max="1033" width="11.08203125" style="75" bestFit="1" customWidth="1"/>
    <col min="1034" max="1034" width="15" style="75" bestFit="1" customWidth="1"/>
    <col min="1035" max="1280" width="9" style="75"/>
    <col min="1281" max="1281" width="2" style="75" customWidth="1"/>
    <col min="1282" max="1282" width="9" style="75"/>
    <col min="1283" max="1286" width="13" style="75" bestFit="1" customWidth="1"/>
    <col min="1287" max="1287" width="9" style="75"/>
    <col min="1288" max="1289" width="11.08203125" style="75" bestFit="1" customWidth="1"/>
    <col min="1290" max="1290" width="15" style="75" bestFit="1" customWidth="1"/>
    <col min="1291" max="1536" width="9" style="75"/>
    <col min="1537" max="1537" width="2" style="75" customWidth="1"/>
    <col min="1538" max="1538" width="9" style="75"/>
    <col min="1539" max="1542" width="13" style="75" bestFit="1" customWidth="1"/>
    <col min="1543" max="1543" width="9" style="75"/>
    <col min="1544" max="1545" width="11.08203125" style="75" bestFit="1" customWidth="1"/>
    <col min="1546" max="1546" width="15" style="75" bestFit="1" customWidth="1"/>
    <col min="1547" max="1792" width="9" style="75"/>
    <col min="1793" max="1793" width="2" style="75" customWidth="1"/>
    <col min="1794" max="1794" width="9" style="75"/>
    <col min="1795" max="1798" width="13" style="75" bestFit="1" customWidth="1"/>
    <col min="1799" max="1799" width="9" style="75"/>
    <col min="1800" max="1801" width="11.08203125" style="75" bestFit="1" customWidth="1"/>
    <col min="1802" max="1802" width="15" style="75" bestFit="1" customWidth="1"/>
    <col min="1803" max="2048" width="9" style="75"/>
    <col min="2049" max="2049" width="2" style="75" customWidth="1"/>
    <col min="2050" max="2050" width="9" style="75"/>
    <col min="2051" max="2054" width="13" style="75" bestFit="1" customWidth="1"/>
    <col min="2055" max="2055" width="9" style="75"/>
    <col min="2056" max="2057" width="11.08203125" style="75" bestFit="1" customWidth="1"/>
    <col min="2058" max="2058" width="15" style="75" bestFit="1" customWidth="1"/>
    <col min="2059" max="2304" width="9" style="75"/>
    <col min="2305" max="2305" width="2" style="75" customWidth="1"/>
    <col min="2306" max="2306" width="9" style="75"/>
    <col min="2307" max="2310" width="13" style="75" bestFit="1" customWidth="1"/>
    <col min="2311" max="2311" width="9" style="75"/>
    <col min="2312" max="2313" width="11.08203125" style="75" bestFit="1" customWidth="1"/>
    <col min="2314" max="2314" width="15" style="75" bestFit="1" customWidth="1"/>
    <col min="2315" max="2560" width="9" style="75"/>
    <col min="2561" max="2561" width="2" style="75" customWidth="1"/>
    <col min="2562" max="2562" width="9" style="75"/>
    <col min="2563" max="2566" width="13" style="75" bestFit="1" customWidth="1"/>
    <col min="2567" max="2567" width="9" style="75"/>
    <col min="2568" max="2569" width="11.08203125" style="75" bestFit="1" customWidth="1"/>
    <col min="2570" max="2570" width="15" style="75" bestFit="1" customWidth="1"/>
    <col min="2571" max="2816" width="9" style="75"/>
    <col min="2817" max="2817" width="2" style="75" customWidth="1"/>
    <col min="2818" max="2818" width="9" style="75"/>
    <col min="2819" max="2822" width="13" style="75" bestFit="1" customWidth="1"/>
    <col min="2823" max="2823" width="9" style="75"/>
    <col min="2824" max="2825" width="11.08203125" style="75" bestFit="1" customWidth="1"/>
    <col min="2826" max="2826" width="15" style="75" bestFit="1" customWidth="1"/>
    <col min="2827" max="3072" width="9" style="75"/>
    <col min="3073" max="3073" width="2" style="75" customWidth="1"/>
    <col min="3074" max="3074" width="9" style="75"/>
    <col min="3075" max="3078" width="13" style="75" bestFit="1" customWidth="1"/>
    <col min="3079" max="3079" width="9" style="75"/>
    <col min="3080" max="3081" width="11.08203125" style="75" bestFit="1" customWidth="1"/>
    <col min="3082" max="3082" width="15" style="75" bestFit="1" customWidth="1"/>
    <col min="3083" max="3328" width="9" style="75"/>
    <col min="3329" max="3329" width="2" style="75" customWidth="1"/>
    <col min="3330" max="3330" width="9" style="75"/>
    <col min="3331" max="3334" width="13" style="75" bestFit="1" customWidth="1"/>
    <col min="3335" max="3335" width="9" style="75"/>
    <col min="3336" max="3337" width="11.08203125" style="75" bestFit="1" customWidth="1"/>
    <col min="3338" max="3338" width="15" style="75" bestFit="1" customWidth="1"/>
    <col min="3339" max="3584" width="9" style="75"/>
    <col min="3585" max="3585" width="2" style="75" customWidth="1"/>
    <col min="3586" max="3586" width="9" style="75"/>
    <col min="3587" max="3590" width="13" style="75" bestFit="1" customWidth="1"/>
    <col min="3591" max="3591" width="9" style="75"/>
    <col min="3592" max="3593" width="11.08203125" style="75" bestFit="1" customWidth="1"/>
    <col min="3594" max="3594" width="15" style="75" bestFit="1" customWidth="1"/>
    <col min="3595" max="3840" width="9" style="75"/>
    <col min="3841" max="3841" width="2" style="75" customWidth="1"/>
    <col min="3842" max="3842" width="9" style="75"/>
    <col min="3843" max="3846" width="13" style="75" bestFit="1" customWidth="1"/>
    <col min="3847" max="3847" width="9" style="75"/>
    <col min="3848" max="3849" width="11.08203125" style="75" bestFit="1" customWidth="1"/>
    <col min="3850" max="3850" width="15" style="75" bestFit="1" customWidth="1"/>
    <col min="3851" max="4096" width="9" style="75"/>
    <col min="4097" max="4097" width="2" style="75" customWidth="1"/>
    <col min="4098" max="4098" width="9" style="75"/>
    <col min="4099" max="4102" width="13" style="75" bestFit="1" customWidth="1"/>
    <col min="4103" max="4103" width="9" style="75"/>
    <col min="4104" max="4105" width="11.08203125" style="75" bestFit="1" customWidth="1"/>
    <col min="4106" max="4106" width="15" style="75" bestFit="1" customWidth="1"/>
    <col min="4107" max="4352" width="9" style="75"/>
    <col min="4353" max="4353" width="2" style="75" customWidth="1"/>
    <col min="4354" max="4354" width="9" style="75"/>
    <col min="4355" max="4358" width="13" style="75" bestFit="1" customWidth="1"/>
    <col min="4359" max="4359" width="9" style="75"/>
    <col min="4360" max="4361" width="11.08203125" style="75" bestFit="1" customWidth="1"/>
    <col min="4362" max="4362" width="15" style="75" bestFit="1" customWidth="1"/>
    <col min="4363" max="4608" width="9" style="75"/>
    <col min="4609" max="4609" width="2" style="75" customWidth="1"/>
    <col min="4610" max="4610" width="9" style="75"/>
    <col min="4611" max="4614" width="13" style="75" bestFit="1" customWidth="1"/>
    <col min="4615" max="4615" width="9" style="75"/>
    <col min="4616" max="4617" width="11.08203125" style="75" bestFit="1" customWidth="1"/>
    <col min="4618" max="4618" width="15" style="75" bestFit="1" customWidth="1"/>
    <col min="4619" max="4864" width="9" style="75"/>
    <col min="4865" max="4865" width="2" style="75" customWidth="1"/>
    <col min="4866" max="4866" width="9" style="75"/>
    <col min="4867" max="4870" width="13" style="75" bestFit="1" customWidth="1"/>
    <col min="4871" max="4871" width="9" style="75"/>
    <col min="4872" max="4873" width="11.08203125" style="75" bestFit="1" customWidth="1"/>
    <col min="4874" max="4874" width="15" style="75" bestFit="1" customWidth="1"/>
    <col min="4875" max="5120" width="9" style="75"/>
    <col min="5121" max="5121" width="2" style="75" customWidth="1"/>
    <col min="5122" max="5122" width="9" style="75"/>
    <col min="5123" max="5126" width="13" style="75" bestFit="1" customWidth="1"/>
    <col min="5127" max="5127" width="9" style="75"/>
    <col min="5128" max="5129" width="11.08203125" style="75" bestFit="1" customWidth="1"/>
    <col min="5130" max="5130" width="15" style="75" bestFit="1" customWidth="1"/>
    <col min="5131" max="5376" width="9" style="75"/>
    <col min="5377" max="5377" width="2" style="75" customWidth="1"/>
    <col min="5378" max="5378" width="9" style="75"/>
    <col min="5379" max="5382" width="13" style="75" bestFit="1" customWidth="1"/>
    <col min="5383" max="5383" width="9" style="75"/>
    <col min="5384" max="5385" width="11.08203125" style="75" bestFit="1" customWidth="1"/>
    <col min="5386" max="5386" width="15" style="75" bestFit="1" customWidth="1"/>
    <col min="5387" max="5632" width="9" style="75"/>
    <col min="5633" max="5633" width="2" style="75" customWidth="1"/>
    <col min="5634" max="5634" width="9" style="75"/>
    <col min="5635" max="5638" width="13" style="75" bestFit="1" customWidth="1"/>
    <col min="5639" max="5639" width="9" style="75"/>
    <col min="5640" max="5641" width="11.08203125" style="75" bestFit="1" customWidth="1"/>
    <col min="5642" max="5642" width="15" style="75" bestFit="1" customWidth="1"/>
    <col min="5643" max="5888" width="9" style="75"/>
    <col min="5889" max="5889" width="2" style="75" customWidth="1"/>
    <col min="5890" max="5890" width="9" style="75"/>
    <col min="5891" max="5894" width="13" style="75" bestFit="1" customWidth="1"/>
    <col min="5895" max="5895" width="9" style="75"/>
    <col min="5896" max="5897" width="11.08203125" style="75" bestFit="1" customWidth="1"/>
    <col min="5898" max="5898" width="15" style="75" bestFit="1" customWidth="1"/>
    <col min="5899" max="6144" width="9" style="75"/>
    <col min="6145" max="6145" width="2" style="75" customWidth="1"/>
    <col min="6146" max="6146" width="9" style="75"/>
    <col min="6147" max="6150" width="13" style="75" bestFit="1" customWidth="1"/>
    <col min="6151" max="6151" width="9" style="75"/>
    <col min="6152" max="6153" width="11.08203125" style="75" bestFit="1" customWidth="1"/>
    <col min="6154" max="6154" width="15" style="75" bestFit="1" customWidth="1"/>
    <col min="6155" max="6400" width="9" style="75"/>
    <col min="6401" max="6401" width="2" style="75" customWidth="1"/>
    <col min="6402" max="6402" width="9" style="75"/>
    <col min="6403" max="6406" width="13" style="75" bestFit="1" customWidth="1"/>
    <col min="6407" max="6407" width="9" style="75"/>
    <col min="6408" max="6409" width="11.08203125" style="75" bestFit="1" customWidth="1"/>
    <col min="6410" max="6410" width="15" style="75" bestFit="1" customWidth="1"/>
    <col min="6411" max="6656" width="9" style="75"/>
    <col min="6657" max="6657" width="2" style="75" customWidth="1"/>
    <col min="6658" max="6658" width="9" style="75"/>
    <col min="6659" max="6662" width="13" style="75" bestFit="1" customWidth="1"/>
    <col min="6663" max="6663" width="9" style="75"/>
    <col min="6664" max="6665" width="11.08203125" style="75" bestFit="1" customWidth="1"/>
    <col min="6666" max="6666" width="15" style="75" bestFit="1" customWidth="1"/>
    <col min="6667" max="6912" width="9" style="75"/>
    <col min="6913" max="6913" width="2" style="75" customWidth="1"/>
    <col min="6914" max="6914" width="9" style="75"/>
    <col min="6915" max="6918" width="13" style="75" bestFit="1" customWidth="1"/>
    <col min="6919" max="6919" width="9" style="75"/>
    <col min="6920" max="6921" width="11.08203125" style="75" bestFit="1" customWidth="1"/>
    <col min="6922" max="6922" width="15" style="75" bestFit="1" customWidth="1"/>
    <col min="6923" max="7168" width="9" style="75"/>
    <col min="7169" max="7169" width="2" style="75" customWidth="1"/>
    <col min="7170" max="7170" width="9" style="75"/>
    <col min="7171" max="7174" width="13" style="75" bestFit="1" customWidth="1"/>
    <col min="7175" max="7175" width="9" style="75"/>
    <col min="7176" max="7177" width="11.08203125" style="75" bestFit="1" customWidth="1"/>
    <col min="7178" max="7178" width="15" style="75" bestFit="1" customWidth="1"/>
    <col min="7179" max="7424" width="9" style="75"/>
    <col min="7425" max="7425" width="2" style="75" customWidth="1"/>
    <col min="7426" max="7426" width="9" style="75"/>
    <col min="7427" max="7430" width="13" style="75" bestFit="1" customWidth="1"/>
    <col min="7431" max="7431" width="9" style="75"/>
    <col min="7432" max="7433" width="11.08203125" style="75" bestFit="1" customWidth="1"/>
    <col min="7434" max="7434" width="15" style="75" bestFit="1" customWidth="1"/>
    <col min="7435" max="7680" width="9" style="75"/>
    <col min="7681" max="7681" width="2" style="75" customWidth="1"/>
    <col min="7682" max="7682" width="9" style="75"/>
    <col min="7683" max="7686" width="13" style="75" bestFit="1" customWidth="1"/>
    <col min="7687" max="7687" width="9" style="75"/>
    <col min="7688" max="7689" width="11.08203125" style="75" bestFit="1" customWidth="1"/>
    <col min="7690" max="7690" width="15" style="75" bestFit="1" customWidth="1"/>
    <col min="7691" max="7936" width="9" style="75"/>
    <col min="7937" max="7937" width="2" style="75" customWidth="1"/>
    <col min="7938" max="7938" width="9" style="75"/>
    <col min="7939" max="7942" width="13" style="75" bestFit="1" customWidth="1"/>
    <col min="7943" max="7943" width="9" style="75"/>
    <col min="7944" max="7945" width="11.08203125" style="75" bestFit="1" customWidth="1"/>
    <col min="7946" max="7946" width="15" style="75" bestFit="1" customWidth="1"/>
    <col min="7947" max="8192" width="9" style="75"/>
    <col min="8193" max="8193" width="2" style="75" customWidth="1"/>
    <col min="8194" max="8194" width="9" style="75"/>
    <col min="8195" max="8198" width="13" style="75" bestFit="1" customWidth="1"/>
    <col min="8199" max="8199" width="9" style="75"/>
    <col min="8200" max="8201" width="11.08203125" style="75" bestFit="1" customWidth="1"/>
    <col min="8202" max="8202" width="15" style="75" bestFit="1" customWidth="1"/>
    <col min="8203" max="8448" width="9" style="75"/>
    <col min="8449" max="8449" width="2" style="75" customWidth="1"/>
    <col min="8450" max="8450" width="9" style="75"/>
    <col min="8451" max="8454" width="13" style="75" bestFit="1" customWidth="1"/>
    <col min="8455" max="8455" width="9" style="75"/>
    <col min="8456" max="8457" width="11.08203125" style="75" bestFit="1" customWidth="1"/>
    <col min="8458" max="8458" width="15" style="75" bestFit="1" customWidth="1"/>
    <col min="8459" max="8704" width="9" style="75"/>
    <col min="8705" max="8705" width="2" style="75" customWidth="1"/>
    <col min="8706" max="8706" width="9" style="75"/>
    <col min="8707" max="8710" width="13" style="75" bestFit="1" customWidth="1"/>
    <col min="8711" max="8711" width="9" style="75"/>
    <col min="8712" max="8713" width="11.08203125" style="75" bestFit="1" customWidth="1"/>
    <col min="8714" max="8714" width="15" style="75" bestFit="1" customWidth="1"/>
    <col min="8715" max="8960" width="9" style="75"/>
    <col min="8961" max="8961" width="2" style="75" customWidth="1"/>
    <col min="8962" max="8962" width="9" style="75"/>
    <col min="8963" max="8966" width="13" style="75" bestFit="1" customWidth="1"/>
    <col min="8967" max="8967" width="9" style="75"/>
    <col min="8968" max="8969" width="11.08203125" style="75" bestFit="1" customWidth="1"/>
    <col min="8970" max="8970" width="15" style="75" bestFit="1" customWidth="1"/>
    <col min="8971" max="9216" width="9" style="75"/>
    <col min="9217" max="9217" width="2" style="75" customWidth="1"/>
    <col min="9218" max="9218" width="9" style="75"/>
    <col min="9219" max="9222" width="13" style="75" bestFit="1" customWidth="1"/>
    <col min="9223" max="9223" width="9" style="75"/>
    <col min="9224" max="9225" width="11.08203125" style="75" bestFit="1" customWidth="1"/>
    <col min="9226" max="9226" width="15" style="75" bestFit="1" customWidth="1"/>
    <col min="9227" max="9472" width="9" style="75"/>
    <col min="9473" max="9473" width="2" style="75" customWidth="1"/>
    <col min="9474" max="9474" width="9" style="75"/>
    <col min="9475" max="9478" width="13" style="75" bestFit="1" customWidth="1"/>
    <col min="9479" max="9479" width="9" style="75"/>
    <col min="9480" max="9481" width="11.08203125" style="75" bestFit="1" customWidth="1"/>
    <col min="9482" max="9482" width="15" style="75" bestFit="1" customWidth="1"/>
    <col min="9483" max="9728" width="9" style="75"/>
    <col min="9729" max="9729" width="2" style="75" customWidth="1"/>
    <col min="9730" max="9730" width="9" style="75"/>
    <col min="9731" max="9734" width="13" style="75" bestFit="1" customWidth="1"/>
    <col min="9735" max="9735" width="9" style="75"/>
    <col min="9736" max="9737" width="11.08203125" style="75" bestFit="1" customWidth="1"/>
    <col min="9738" max="9738" width="15" style="75" bestFit="1" customWidth="1"/>
    <col min="9739" max="9984" width="9" style="75"/>
    <col min="9985" max="9985" width="2" style="75" customWidth="1"/>
    <col min="9986" max="9986" width="9" style="75"/>
    <col min="9987" max="9990" width="13" style="75" bestFit="1" customWidth="1"/>
    <col min="9991" max="9991" width="9" style="75"/>
    <col min="9992" max="9993" width="11.08203125" style="75" bestFit="1" customWidth="1"/>
    <col min="9994" max="9994" width="15" style="75" bestFit="1" customWidth="1"/>
    <col min="9995" max="10240" width="9" style="75"/>
    <col min="10241" max="10241" width="2" style="75" customWidth="1"/>
    <col min="10242" max="10242" width="9" style="75"/>
    <col min="10243" max="10246" width="13" style="75" bestFit="1" customWidth="1"/>
    <col min="10247" max="10247" width="9" style="75"/>
    <col min="10248" max="10249" width="11.08203125" style="75" bestFit="1" customWidth="1"/>
    <col min="10250" max="10250" width="15" style="75" bestFit="1" customWidth="1"/>
    <col min="10251" max="10496" width="9" style="75"/>
    <col min="10497" max="10497" width="2" style="75" customWidth="1"/>
    <col min="10498" max="10498" width="9" style="75"/>
    <col min="10499" max="10502" width="13" style="75" bestFit="1" customWidth="1"/>
    <col min="10503" max="10503" width="9" style="75"/>
    <col min="10504" max="10505" width="11.08203125" style="75" bestFit="1" customWidth="1"/>
    <col min="10506" max="10506" width="15" style="75" bestFit="1" customWidth="1"/>
    <col min="10507" max="10752" width="9" style="75"/>
    <col min="10753" max="10753" width="2" style="75" customWidth="1"/>
    <col min="10754" max="10754" width="9" style="75"/>
    <col min="10755" max="10758" width="13" style="75" bestFit="1" customWidth="1"/>
    <col min="10759" max="10759" width="9" style="75"/>
    <col min="10760" max="10761" width="11.08203125" style="75" bestFit="1" customWidth="1"/>
    <col min="10762" max="10762" width="15" style="75" bestFit="1" customWidth="1"/>
    <col min="10763" max="11008" width="9" style="75"/>
    <col min="11009" max="11009" width="2" style="75" customWidth="1"/>
    <col min="11010" max="11010" width="9" style="75"/>
    <col min="11011" max="11014" width="13" style="75" bestFit="1" customWidth="1"/>
    <col min="11015" max="11015" width="9" style="75"/>
    <col min="11016" max="11017" width="11.08203125" style="75" bestFit="1" customWidth="1"/>
    <col min="11018" max="11018" width="15" style="75" bestFit="1" customWidth="1"/>
    <col min="11019" max="11264" width="9" style="75"/>
    <col min="11265" max="11265" width="2" style="75" customWidth="1"/>
    <col min="11266" max="11266" width="9" style="75"/>
    <col min="11267" max="11270" width="13" style="75" bestFit="1" customWidth="1"/>
    <col min="11271" max="11271" width="9" style="75"/>
    <col min="11272" max="11273" width="11.08203125" style="75" bestFit="1" customWidth="1"/>
    <col min="11274" max="11274" width="15" style="75" bestFit="1" customWidth="1"/>
    <col min="11275" max="11520" width="9" style="75"/>
    <col min="11521" max="11521" width="2" style="75" customWidth="1"/>
    <col min="11522" max="11522" width="9" style="75"/>
    <col min="11523" max="11526" width="13" style="75" bestFit="1" customWidth="1"/>
    <col min="11527" max="11527" width="9" style="75"/>
    <col min="11528" max="11529" width="11.08203125" style="75" bestFit="1" customWidth="1"/>
    <col min="11530" max="11530" width="15" style="75" bestFit="1" customWidth="1"/>
    <col min="11531" max="11776" width="9" style="75"/>
    <col min="11777" max="11777" width="2" style="75" customWidth="1"/>
    <col min="11778" max="11778" width="9" style="75"/>
    <col min="11779" max="11782" width="13" style="75" bestFit="1" customWidth="1"/>
    <col min="11783" max="11783" width="9" style="75"/>
    <col min="11784" max="11785" width="11.08203125" style="75" bestFit="1" customWidth="1"/>
    <col min="11786" max="11786" width="15" style="75" bestFit="1" customWidth="1"/>
    <col min="11787" max="12032" width="9" style="75"/>
    <col min="12033" max="12033" width="2" style="75" customWidth="1"/>
    <col min="12034" max="12034" width="9" style="75"/>
    <col min="12035" max="12038" width="13" style="75" bestFit="1" customWidth="1"/>
    <col min="12039" max="12039" width="9" style="75"/>
    <col min="12040" max="12041" width="11.08203125" style="75" bestFit="1" customWidth="1"/>
    <col min="12042" max="12042" width="15" style="75" bestFit="1" customWidth="1"/>
    <col min="12043" max="12288" width="9" style="75"/>
    <col min="12289" max="12289" width="2" style="75" customWidth="1"/>
    <col min="12290" max="12290" width="9" style="75"/>
    <col min="12291" max="12294" width="13" style="75" bestFit="1" customWidth="1"/>
    <col min="12295" max="12295" width="9" style="75"/>
    <col min="12296" max="12297" width="11.08203125" style="75" bestFit="1" customWidth="1"/>
    <col min="12298" max="12298" width="15" style="75" bestFit="1" customWidth="1"/>
    <col min="12299" max="12544" width="9" style="75"/>
    <col min="12545" max="12545" width="2" style="75" customWidth="1"/>
    <col min="12546" max="12546" width="9" style="75"/>
    <col min="12547" max="12550" width="13" style="75" bestFit="1" customWidth="1"/>
    <col min="12551" max="12551" width="9" style="75"/>
    <col min="12552" max="12553" width="11.08203125" style="75" bestFit="1" customWidth="1"/>
    <col min="12554" max="12554" width="15" style="75" bestFit="1" customWidth="1"/>
    <col min="12555" max="12800" width="9" style="75"/>
    <col min="12801" max="12801" width="2" style="75" customWidth="1"/>
    <col min="12802" max="12802" width="9" style="75"/>
    <col min="12803" max="12806" width="13" style="75" bestFit="1" customWidth="1"/>
    <col min="12807" max="12807" width="9" style="75"/>
    <col min="12808" max="12809" width="11.08203125" style="75" bestFit="1" customWidth="1"/>
    <col min="12810" max="12810" width="15" style="75" bestFit="1" customWidth="1"/>
    <col min="12811" max="13056" width="9" style="75"/>
    <col min="13057" max="13057" width="2" style="75" customWidth="1"/>
    <col min="13058" max="13058" width="9" style="75"/>
    <col min="13059" max="13062" width="13" style="75" bestFit="1" customWidth="1"/>
    <col min="13063" max="13063" width="9" style="75"/>
    <col min="13064" max="13065" width="11.08203125" style="75" bestFit="1" customWidth="1"/>
    <col min="13066" max="13066" width="15" style="75" bestFit="1" customWidth="1"/>
    <col min="13067" max="13312" width="9" style="75"/>
    <col min="13313" max="13313" width="2" style="75" customWidth="1"/>
    <col min="13314" max="13314" width="9" style="75"/>
    <col min="13315" max="13318" width="13" style="75" bestFit="1" customWidth="1"/>
    <col min="13319" max="13319" width="9" style="75"/>
    <col min="13320" max="13321" width="11.08203125" style="75" bestFit="1" customWidth="1"/>
    <col min="13322" max="13322" width="15" style="75" bestFit="1" customWidth="1"/>
    <col min="13323" max="13568" width="9" style="75"/>
    <col min="13569" max="13569" width="2" style="75" customWidth="1"/>
    <col min="13570" max="13570" width="9" style="75"/>
    <col min="13571" max="13574" width="13" style="75" bestFit="1" customWidth="1"/>
    <col min="13575" max="13575" width="9" style="75"/>
    <col min="13576" max="13577" width="11.08203125" style="75" bestFit="1" customWidth="1"/>
    <col min="13578" max="13578" width="15" style="75" bestFit="1" customWidth="1"/>
    <col min="13579" max="13824" width="9" style="75"/>
    <col min="13825" max="13825" width="2" style="75" customWidth="1"/>
    <col min="13826" max="13826" width="9" style="75"/>
    <col min="13827" max="13830" width="13" style="75" bestFit="1" customWidth="1"/>
    <col min="13831" max="13831" width="9" style="75"/>
    <col min="13832" max="13833" width="11.08203125" style="75" bestFit="1" customWidth="1"/>
    <col min="13834" max="13834" width="15" style="75" bestFit="1" customWidth="1"/>
    <col min="13835" max="14080" width="9" style="75"/>
    <col min="14081" max="14081" width="2" style="75" customWidth="1"/>
    <col min="14082" max="14082" width="9" style="75"/>
    <col min="14083" max="14086" width="13" style="75" bestFit="1" customWidth="1"/>
    <col min="14087" max="14087" width="9" style="75"/>
    <col min="14088" max="14089" width="11.08203125" style="75" bestFit="1" customWidth="1"/>
    <col min="14090" max="14090" width="15" style="75" bestFit="1" customWidth="1"/>
    <col min="14091" max="14336" width="9" style="75"/>
    <col min="14337" max="14337" width="2" style="75" customWidth="1"/>
    <col min="14338" max="14338" width="9" style="75"/>
    <col min="14339" max="14342" width="13" style="75" bestFit="1" customWidth="1"/>
    <col min="14343" max="14343" width="9" style="75"/>
    <col min="14344" max="14345" width="11.08203125" style="75" bestFit="1" customWidth="1"/>
    <col min="14346" max="14346" width="15" style="75" bestFit="1" customWidth="1"/>
    <col min="14347" max="14592" width="9" style="75"/>
    <col min="14593" max="14593" width="2" style="75" customWidth="1"/>
    <col min="14594" max="14594" width="9" style="75"/>
    <col min="14595" max="14598" width="13" style="75" bestFit="1" customWidth="1"/>
    <col min="14599" max="14599" width="9" style="75"/>
    <col min="14600" max="14601" width="11.08203125" style="75" bestFit="1" customWidth="1"/>
    <col min="14602" max="14602" width="15" style="75" bestFit="1" customWidth="1"/>
    <col min="14603" max="14848" width="9" style="75"/>
    <col min="14849" max="14849" width="2" style="75" customWidth="1"/>
    <col min="14850" max="14850" width="9" style="75"/>
    <col min="14851" max="14854" width="13" style="75" bestFit="1" customWidth="1"/>
    <col min="14855" max="14855" width="9" style="75"/>
    <col min="14856" max="14857" width="11.08203125" style="75" bestFit="1" customWidth="1"/>
    <col min="14858" max="14858" width="15" style="75" bestFit="1" customWidth="1"/>
    <col min="14859" max="15104" width="9" style="75"/>
    <col min="15105" max="15105" width="2" style="75" customWidth="1"/>
    <col min="15106" max="15106" width="9" style="75"/>
    <col min="15107" max="15110" width="13" style="75" bestFit="1" customWidth="1"/>
    <col min="15111" max="15111" width="9" style="75"/>
    <col min="15112" max="15113" width="11.08203125" style="75" bestFit="1" customWidth="1"/>
    <col min="15114" max="15114" width="15" style="75" bestFit="1" customWidth="1"/>
    <col min="15115" max="15360" width="9" style="75"/>
    <col min="15361" max="15361" width="2" style="75" customWidth="1"/>
    <col min="15362" max="15362" width="9" style="75"/>
    <col min="15363" max="15366" width="13" style="75" bestFit="1" customWidth="1"/>
    <col min="15367" max="15367" width="9" style="75"/>
    <col min="15368" max="15369" width="11.08203125" style="75" bestFit="1" customWidth="1"/>
    <col min="15370" max="15370" width="15" style="75" bestFit="1" customWidth="1"/>
    <col min="15371" max="15616" width="9" style="75"/>
    <col min="15617" max="15617" width="2" style="75" customWidth="1"/>
    <col min="15618" max="15618" width="9" style="75"/>
    <col min="15619" max="15622" width="13" style="75" bestFit="1" customWidth="1"/>
    <col min="15623" max="15623" width="9" style="75"/>
    <col min="15624" max="15625" width="11.08203125" style="75" bestFit="1" customWidth="1"/>
    <col min="15626" max="15626" width="15" style="75" bestFit="1" customWidth="1"/>
    <col min="15627" max="15872" width="9" style="75"/>
    <col min="15873" max="15873" width="2" style="75" customWidth="1"/>
    <col min="15874" max="15874" width="9" style="75"/>
    <col min="15875" max="15878" width="13" style="75" bestFit="1" customWidth="1"/>
    <col min="15879" max="15879" width="9" style="75"/>
    <col min="15880" max="15881" width="11.08203125" style="75" bestFit="1" customWidth="1"/>
    <col min="15882" max="15882" width="15" style="75" bestFit="1" customWidth="1"/>
    <col min="15883" max="16128" width="9" style="75"/>
    <col min="16129" max="16129" width="2" style="75" customWidth="1"/>
    <col min="16130" max="16130" width="9" style="75"/>
    <col min="16131" max="16134" width="13" style="75" bestFit="1" customWidth="1"/>
    <col min="16135" max="16135" width="9" style="75"/>
    <col min="16136" max="16137" width="11.08203125" style="75" bestFit="1" customWidth="1"/>
    <col min="16138" max="16138" width="15" style="75" bestFit="1" customWidth="1"/>
    <col min="16139" max="16384" width="9" style="75"/>
  </cols>
  <sheetData>
    <row r="1" spans="2:10" ht="39" customHeight="1">
      <c r="B1" s="184" t="s">
        <v>188</v>
      </c>
      <c r="C1" s="184"/>
      <c r="D1" s="184"/>
      <c r="E1" s="184"/>
      <c r="F1" s="184"/>
      <c r="G1" s="184"/>
      <c r="H1" s="184"/>
      <c r="I1" s="184"/>
      <c r="J1" s="184"/>
    </row>
    <row r="3" spans="2:10" ht="25.5" customHeight="1" thickBot="1">
      <c r="B3" s="133" t="s">
        <v>189</v>
      </c>
      <c r="C3" s="133" t="s">
        <v>190</v>
      </c>
      <c r="D3" s="133" t="s">
        <v>191</v>
      </c>
      <c r="E3" s="133" t="s">
        <v>192</v>
      </c>
      <c r="F3" s="133" t="s">
        <v>193</v>
      </c>
      <c r="G3" s="133" t="s">
        <v>194</v>
      </c>
      <c r="H3" s="133" t="s">
        <v>195</v>
      </c>
      <c r="I3" s="133" t="s">
        <v>196</v>
      </c>
      <c r="J3" s="133" t="s">
        <v>197</v>
      </c>
    </row>
    <row r="4" spans="2:10" ht="17.149999999999999" customHeight="1" thickTop="1">
      <c r="B4" s="76" t="s">
        <v>198</v>
      </c>
      <c r="C4" s="76" t="s">
        <v>199</v>
      </c>
      <c r="D4" s="76" t="str">
        <f t="shared" ref="D4:D67" si="0">IF(LEFT(B4,1)="A","연구부",IF(LEFT(B4,1)="B","관리부","경리부"))</f>
        <v>연구부</v>
      </c>
      <c r="E4" s="76" t="s">
        <v>200</v>
      </c>
      <c r="F4" s="77">
        <v>1500000</v>
      </c>
      <c r="G4" s="76">
        <v>6</v>
      </c>
      <c r="H4" s="77">
        <f t="shared" ref="H4:H67" si="1">IF(E4="부장",200000,IF(E4="과장",150000,IF(E4="대리",100000,50000)))</f>
        <v>200000</v>
      </c>
      <c r="I4" s="77">
        <f t="shared" ref="I4:I67" si="2">F4*G4*0.01</f>
        <v>90000</v>
      </c>
      <c r="J4" s="134">
        <f t="shared" ref="J4:J67" si="3">F4+I4+H4</f>
        <v>1790000</v>
      </c>
    </row>
    <row r="5" spans="2:10" ht="17.149999999999999" customHeight="1">
      <c r="B5" s="74" t="s">
        <v>201</v>
      </c>
      <c r="C5" s="74" t="s">
        <v>202</v>
      </c>
      <c r="D5" s="74" t="str">
        <f t="shared" si="0"/>
        <v>관리부</v>
      </c>
      <c r="E5" s="74" t="s">
        <v>203</v>
      </c>
      <c r="F5" s="78">
        <v>1400000</v>
      </c>
      <c r="G5" s="74">
        <v>5</v>
      </c>
      <c r="H5" s="78">
        <f t="shared" si="1"/>
        <v>150000</v>
      </c>
      <c r="I5" s="78">
        <f t="shared" si="2"/>
        <v>70000</v>
      </c>
      <c r="J5" s="135">
        <f t="shared" si="3"/>
        <v>1620000</v>
      </c>
    </row>
    <row r="6" spans="2:10" ht="17.149999999999999" customHeight="1">
      <c r="B6" s="74" t="s">
        <v>204</v>
      </c>
      <c r="C6" s="74" t="s">
        <v>205</v>
      </c>
      <c r="D6" s="74" t="str">
        <f t="shared" si="0"/>
        <v>경리부</v>
      </c>
      <c r="E6" s="74" t="s">
        <v>203</v>
      </c>
      <c r="F6" s="78">
        <v>1400000</v>
      </c>
      <c r="G6" s="74">
        <v>5</v>
      </c>
      <c r="H6" s="78">
        <f t="shared" si="1"/>
        <v>150000</v>
      </c>
      <c r="I6" s="78">
        <f t="shared" si="2"/>
        <v>70000</v>
      </c>
      <c r="J6" s="135">
        <f t="shared" si="3"/>
        <v>1620000</v>
      </c>
    </row>
    <row r="7" spans="2:10" ht="17.149999999999999" customHeight="1">
      <c r="B7" s="76" t="s">
        <v>206</v>
      </c>
      <c r="C7" s="74" t="s">
        <v>207</v>
      </c>
      <c r="D7" s="74" t="str">
        <f t="shared" si="0"/>
        <v>연구부</v>
      </c>
      <c r="E7" s="74" t="s">
        <v>155</v>
      </c>
      <c r="F7" s="78">
        <v>1300000</v>
      </c>
      <c r="G7" s="74">
        <v>4</v>
      </c>
      <c r="H7" s="78">
        <f t="shared" si="1"/>
        <v>100000</v>
      </c>
      <c r="I7" s="78">
        <f t="shared" si="2"/>
        <v>52000</v>
      </c>
      <c r="J7" s="135">
        <f t="shared" si="3"/>
        <v>1452000</v>
      </c>
    </row>
    <row r="8" spans="2:10" ht="17.149999999999999" customHeight="1">
      <c r="B8" s="74" t="s">
        <v>208</v>
      </c>
      <c r="C8" s="74" t="s">
        <v>209</v>
      </c>
      <c r="D8" s="74" t="str">
        <f t="shared" si="0"/>
        <v>관리부</v>
      </c>
      <c r="E8" s="74" t="s">
        <v>155</v>
      </c>
      <c r="F8" s="78">
        <v>1300000</v>
      </c>
      <c r="G8" s="74">
        <v>5</v>
      </c>
      <c r="H8" s="78">
        <f t="shared" si="1"/>
        <v>100000</v>
      </c>
      <c r="I8" s="78">
        <f t="shared" si="2"/>
        <v>65000</v>
      </c>
      <c r="J8" s="135">
        <f t="shared" si="3"/>
        <v>1465000</v>
      </c>
    </row>
    <row r="9" spans="2:10" ht="17.149999999999999" customHeight="1">
      <c r="B9" s="74" t="s">
        <v>210</v>
      </c>
      <c r="C9" s="74" t="s">
        <v>211</v>
      </c>
      <c r="D9" s="74" t="str">
        <f t="shared" si="0"/>
        <v>경리부</v>
      </c>
      <c r="E9" s="74" t="s">
        <v>154</v>
      </c>
      <c r="F9" s="78">
        <v>1200000</v>
      </c>
      <c r="G9" s="74">
        <v>7</v>
      </c>
      <c r="H9" s="78">
        <f t="shared" si="1"/>
        <v>50000</v>
      </c>
      <c r="I9" s="78">
        <f t="shared" si="2"/>
        <v>84000</v>
      </c>
      <c r="J9" s="135">
        <f t="shared" si="3"/>
        <v>1334000</v>
      </c>
    </row>
    <row r="10" spans="2:10" ht="17.149999999999999" customHeight="1">
      <c r="B10" s="76" t="s">
        <v>212</v>
      </c>
      <c r="C10" s="74" t="s">
        <v>213</v>
      </c>
      <c r="D10" s="74" t="str">
        <f t="shared" si="0"/>
        <v>연구부</v>
      </c>
      <c r="E10" s="74" t="s">
        <v>154</v>
      </c>
      <c r="F10" s="78">
        <v>1200000</v>
      </c>
      <c r="G10" s="74">
        <v>2</v>
      </c>
      <c r="H10" s="78">
        <f t="shared" si="1"/>
        <v>50000</v>
      </c>
      <c r="I10" s="78">
        <f t="shared" si="2"/>
        <v>24000</v>
      </c>
      <c r="J10" s="135">
        <f t="shared" si="3"/>
        <v>1274000</v>
      </c>
    </row>
    <row r="11" spans="2:10" ht="17.149999999999999" customHeight="1">
      <c r="B11" s="74" t="s">
        <v>214</v>
      </c>
      <c r="C11" s="74" t="s">
        <v>215</v>
      </c>
      <c r="D11" s="74" t="str">
        <f t="shared" si="0"/>
        <v>관리부</v>
      </c>
      <c r="E11" s="74" t="s">
        <v>154</v>
      </c>
      <c r="F11" s="78">
        <v>1200000</v>
      </c>
      <c r="G11" s="74">
        <v>3</v>
      </c>
      <c r="H11" s="78">
        <f t="shared" si="1"/>
        <v>50000</v>
      </c>
      <c r="I11" s="78">
        <f t="shared" si="2"/>
        <v>36000</v>
      </c>
      <c r="J11" s="135">
        <f t="shared" si="3"/>
        <v>1286000</v>
      </c>
    </row>
    <row r="12" spans="2:10" ht="17.149999999999999" customHeight="1">
      <c r="B12" s="74" t="s">
        <v>216</v>
      </c>
      <c r="C12" s="74" t="s">
        <v>217</v>
      </c>
      <c r="D12" s="74" t="str">
        <f t="shared" si="0"/>
        <v>경리부</v>
      </c>
      <c r="E12" s="74" t="s">
        <v>154</v>
      </c>
      <c r="F12" s="78">
        <v>1200000</v>
      </c>
      <c r="G12" s="74">
        <v>1</v>
      </c>
      <c r="H12" s="78">
        <f t="shared" si="1"/>
        <v>50000</v>
      </c>
      <c r="I12" s="78">
        <f t="shared" si="2"/>
        <v>12000</v>
      </c>
      <c r="J12" s="135">
        <f t="shared" si="3"/>
        <v>1262000</v>
      </c>
    </row>
    <row r="13" spans="2:10" ht="17.149999999999999" customHeight="1">
      <c r="B13" s="76" t="s">
        <v>218</v>
      </c>
      <c r="C13" s="74" t="s">
        <v>199</v>
      </c>
      <c r="D13" s="74" t="str">
        <f t="shared" si="0"/>
        <v>연구부</v>
      </c>
      <c r="E13" s="74" t="s">
        <v>200</v>
      </c>
      <c r="F13" s="78">
        <v>1500000</v>
      </c>
      <c r="G13" s="74">
        <v>6</v>
      </c>
      <c r="H13" s="78">
        <f t="shared" si="1"/>
        <v>200000</v>
      </c>
      <c r="I13" s="78">
        <f t="shared" si="2"/>
        <v>90000</v>
      </c>
      <c r="J13" s="135">
        <f t="shared" si="3"/>
        <v>1790000</v>
      </c>
    </row>
    <row r="14" spans="2:10" ht="17.149999999999999" customHeight="1">
      <c r="B14" s="74" t="s">
        <v>219</v>
      </c>
      <c r="C14" s="74" t="s">
        <v>202</v>
      </c>
      <c r="D14" s="74" t="str">
        <f t="shared" si="0"/>
        <v>관리부</v>
      </c>
      <c r="E14" s="74" t="s">
        <v>203</v>
      </c>
      <c r="F14" s="78">
        <v>1400000</v>
      </c>
      <c r="G14" s="74">
        <v>5</v>
      </c>
      <c r="H14" s="78">
        <f t="shared" si="1"/>
        <v>150000</v>
      </c>
      <c r="I14" s="78">
        <f t="shared" si="2"/>
        <v>70000</v>
      </c>
      <c r="J14" s="135">
        <f t="shared" si="3"/>
        <v>1620000</v>
      </c>
    </row>
    <row r="15" spans="2:10" ht="17.149999999999999" customHeight="1">
      <c r="B15" s="74" t="s">
        <v>220</v>
      </c>
      <c r="C15" s="74" t="s">
        <v>205</v>
      </c>
      <c r="D15" s="74" t="str">
        <f t="shared" si="0"/>
        <v>경리부</v>
      </c>
      <c r="E15" s="74" t="s">
        <v>203</v>
      </c>
      <c r="F15" s="78">
        <v>1400000</v>
      </c>
      <c r="G15" s="74">
        <v>5</v>
      </c>
      <c r="H15" s="78">
        <f t="shared" si="1"/>
        <v>150000</v>
      </c>
      <c r="I15" s="78">
        <f t="shared" si="2"/>
        <v>70000</v>
      </c>
      <c r="J15" s="135">
        <f t="shared" si="3"/>
        <v>1620000</v>
      </c>
    </row>
    <row r="16" spans="2:10" ht="17.149999999999999" customHeight="1">
      <c r="B16" s="76" t="s">
        <v>221</v>
      </c>
      <c r="C16" s="74" t="s">
        <v>207</v>
      </c>
      <c r="D16" s="74" t="str">
        <f t="shared" si="0"/>
        <v>연구부</v>
      </c>
      <c r="E16" s="74" t="s">
        <v>155</v>
      </c>
      <c r="F16" s="78">
        <v>1300000</v>
      </c>
      <c r="G16" s="74">
        <v>4</v>
      </c>
      <c r="H16" s="78">
        <f t="shared" si="1"/>
        <v>100000</v>
      </c>
      <c r="I16" s="78">
        <f t="shared" si="2"/>
        <v>52000</v>
      </c>
      <c r="J16" s="135">
        <f t="shared" si="3"/>
        <v>1452000</v>
      </c>
    </row>
    <row r="17" spans="2:10" ht="17.149999999999999" customHeight="1">
      <c r="B17" s="74" t="s">
        <v>222</v>
      </c>
      <c r="C17" s="74" t="s">
        <v>209</v>
      </c>
      <c r="D17" s="74" t="str">
        <f t="shared" si="0"/>
        <v>관리부</v>
      </c>
      <c r="E17" s="74" t="s">
        <v>155</v>
      </c>
      <c r="F17" s="78">
        <v>1300000</v>
      </c>
      <c r="G17" s="74">
        <v>5</v>
      </c>
      <c r="H17" s="78">
        <f t="shared" si="1"/>
        <v>100000</v>
      </c>
      <c r="I17" s="78">
        <f t="shared" si="2"/>
        <v>65000</v>
      </c>
      <c r="J17" s="135">
        <f t="shared" si="3"/>
        <v>1465000</v>
      </c>
    </row>
    <row r="18" spans="2:10" ht="17.149999999999999" customHeight="1">
      <c r="B18" s="74" t="s">
        <v>223</v>
      </c>
      <c r="C18" s="74" t="s">
        <v>211</v>
      </c>
      <c r="D18" s="74" t="str">
        <f t="shared" si="0"/>
        <v>경리부</v>
      </c>
      <c r="E18" s="74" t="s">
        <v>154</v>
      </c>
      <c r="F18" s="78">
        <v>1200000</v>
      </c>
      <c r="G18" s="74">
        <v>7</v>
      </c>
      <c r="H18" s="78">
        <f t="shared" si="1"/>
        <v>50000</v>
      </c>
      <c r="I18" s="78">
        <f t="shared" si="2"/>
        <v>84000</v>
      </c>
      <c r="J18" s="135">
        <f t="shared" si="3"/>
        <v>1334000</v>
      </c>
    </row>
    <row r="19" spans="2:10" ht="17.149999999999999" customHeight="1">
      <c r="B19" s="76" t="s">
        <v>224</v>
      </c>
      <c r="C19" s="74" t="s">
        <v>213</v>
      </c>
      <c r="D19" s="74" t="str">
        <f t="shared" si="0"/>
        <v>연구부</v>
      </c>
      <c r="E19" s="74" t="s">
        <v>154</v>
      </c>
      <c r="F19" s="78">
        <v>1200000</v>
      </c>
      <c r="G19" s="74">
        <v>2</v>
      </c>
      <c r="H19" s="78">
        <f t="shared" si="1"/>
        <v>50000</v>
      </c>
      <c r="I19" s="78">
        <f t="shared" si="2"/>
        <v>24000</v>
      </c>
      <c r="J19" s="135">
        <f t="shared" si="3"/>
        <v>1274000</v>
      </c>
    </row>
    <row r="20" spans="2:10" ht="17.149999999999999" customHeight="1">
      <c r="B20" s="74" t="s">
        <v>225</v>
      </c>
      <c r="C20" s="74" t="s">
        <v>215</v>
      </c>
      <c r="D20" s="74" t="str">
        <f t="shared" si="0"/>
        <v>관리부</v>
      </c>
      <c r="E20" s="74" t="s">
        <v>154</v>
      </c>
      <c r="F20" s="78">
        <v>1200000</v>
      </c>
      <c r="G20" s="74">
        <v>3</v>
      </c>
      <c r="H20" s="78">
        <f t="shared" si="1"/>
        <v>50000</v>
      </c>
      <c r="I20" s="78">
        <f t="shared" si="2"/>
        <v>36000</v>
      </c>
      <c r="J20" s="135">
        <f t="shared" si="3"/>
        <v>1286000</v>
      </c>
    </row>
    <row r="21" spans="2:10" ht="17.149999999999999" customHeight="1">
      <c r="B21" s="74" t="s">
        <v>226</v>
      </c>
      <c r="C21" s="74" t="s">
        <v>217</v>
      </c>
      <c r="D21" s="74" t="str">
        <f t="shared" si="0"/>
        <v>경리부</v>
      </c>
      <c r="E21" s="74" t="s">
        <v>154</v>
      </c>
      <c r="F21" s="78">
        <v>1200000</v>
      </c>
      <c r="G21" s="74">
        <v>1</v>
      </c>
      <c r="H21" s="78">
        <f t="shared" si="1"/>
        <v>50000</v>
      </c>
      <c r="I21" s="78">
        <f t="shared" si="2"/>
        <v>12000</v>
      </c>
      <c r="J21" s="135">
        <f t="shared" si="3"/>
        <v>1262000</v>
      </c>
    </row>
    <row r="22" spans="2:10" ht="17.149999999999999" customHeight="1">
      <c r="B22" s="76" t="s">
        <v>227</v>
      </c>
      <c r="C22" s="74" t="s">
        <v>228</v>
      </c>
      <c r="D22" s="74" t="str">
        <f t="shared" si="0"/>
        <v>연구부</v>
      </c>
      <c r="E22" s="74" t="s">
        <v>162</v>
      </c>
      <c r="F22" s="78">
        <v>1500000</v>
      </c>
      <c r="G22" s="74">
        <v>6</v>
      </c>
      <c r="H22" s="78">
        <f t="shared" si="1"/>
        <v>200000</v>
      </c>
      <c r="I22" s="78">
        <f t="shared" si="2"/>
        <v>90000</v>
      </c>
      <c r="J22" s="135">
        <f t="shared" si="3"/>
        <v>1790000</v>
      </c>
    </row>
    <row r="23" spans="2:10" ht="17.149999999999999" customHeight="1">
      <c r="B23" s="74" t="s">
        <v>229</v>
      </c>
      <c r="C23" s="74" t="s">
        <v>230</v>
      </c>
      <c r="D23" s="74" t="str">
        <f t="shared" si="0"/>
        <v>관리부</v>
      </c>
      <c r="E23" s="74" t="s">
        <v>161</v>
      </c>
      <c r="F23" s="78">
        <v>1400000</v>
      </c>
      <c r="G23" s="74">
        <v>5</v>
      </c>
      <c r="H23" s="78">
        <f t="shared" si="1"/>
        <v>150000</v>
      </c>
      <c r="I23" s="78">
        <f t="shared" si="2"/>
        <v>70000</v>
      </c>
      <c r="J23" s="135">
        <f t="shared" si="3"/>
        <v>1620000</v>
      </c>
    </row>
    <row r="24" spans="2:10" ht="17.149999999999999" customHeight="1">
      <c r="B24" s="74" t="s">
        <v>231</v>
      </c>
      <c r="C24" s="74" t="s">
        <v>232</v>
      </c>
      <c r="D24" s="74" t="str">
        <f t="shared" si="0"/>
        <v>경리부</v>
      </c>
      <c r="E24" s="74" t="s">
        <v>161</v>
      </c>
      <c r="F24" s="78">
        <v>1400000</v>
      </c>
      <c r="G24" s="74">
        <v>5</v>
      </c>
      <c r="H24" s="78">
        <f t="shared" si="1"/>
        <v>150000</v>
      </c>
      <c r="I24" s="78">
        <f t="shared" si="2"/>
        <v>70000</v>
      </c>
      <c r="J24" s="135">
        <f t="shared" si="3"/>
        <v>1620000</v>
      </c>
    </row>
    <row r="25" spans="2:10" ht="17.149999999999999" customHeight="1">
      <c r="B25" s="76" t="s">
        <v>233</v>
      </c>
      <c r="C25" s="74" t="s">
        <v>234</v>
      </c>
      <c r="D25" s="74" t="str">
        <f t="shared" si="0"/>
        <v>연구부</v>
      </c>
      <c r="E25" s="74" t="s">
        <v>235</v>
      </c>
      <c r="F25" s="78">
        <v>1300000</v>
      </c>
      <c r="G25" s="74">
        <v>4</v>
      </c>
      <c r="H25" s="78">
        <f t="shared" si="1"/>
        <v>100000</v>
      </c>
      <c r="I25" s="78">
        <f t="shared" si="2"/>
        <v>52000</v>
      </c>
      <c r="J25" s="135">
        <f t="shared" si="3"/>
        <v>1452000</v>
      </c>
    </row>
    <row r="26" spans="2:10" ht="17.149999999999999" customHeight="1">
      <c r="B26" s="74" t="s">
        <v>236</v>
      </c>
      <c r="C26" s="74" t="s">
        <v>237</v>
      </c>
      <c r="D26" s="74" t="str">
        <f t="shared" si="0"/>
        <v>관리부</v>
      </c>
      <c r="E26" s="74" t="s">
        <v>235</v>
      </c>
      <c r="F26" s="78">
        <v>1300000</v>
      </c>
      <c r="G26" s="74">
        <v>5</v>
      </c>
      <c r="H26" s="78">
        <f t="shared" si="1"/>
        <v>100000</v>
      </c>
      <c r="I26" s="78">
        <f t="shared" si="2"/>
        <v>65000</v>
      </c>
      <c r="J26" s="135">
        <f t="shared" si="3"/>
        <v>1465000</v>
      </c>
    </row>
    <row r="27" spans="2:10" ht="17.149999999999999" customHeight="1">
      <c r="B27" s="74" t="s">
        <v>238</v>
      </c>
      <c r="C27" s="74" t="s">
        <v>239</v>
      </c>
      <c r="D27" s="74" t="str">
        <f t="shared" si="0"/>
        <v>경리부</v>
      </c>
      <c r="E27" s="74" t="s">
        <v>160</v>
      </c>
      <c r="F27" s="78">
        <v>1200000</v>
      </c>
      <c r="G27" s="74">
        <v>7</v>
      </c>
      <c r="H27" s="78">
        <f t="shared" si="1"/>
        <v>50000</v>
      </c>
      <c r="I27" s="78">
        <f t="shared" si="2"/>
        <v>84000</v>
      </c>
      <c r="J27" s="135">
        <f t="shared" si="3"/>
        <v>1334000</v>
      </c>
    </row>
    <row r="28" spans="2:10" ht="17.149999999999999" customHeight="1">
      <c r="B28" s="76" t="s">
        <v>240</v>
      </c>
      <c r="C28" s="74" t="s">
        <v>241</v>
      </c>
      <c r="D28" s="74" t="str">
        <f t="shared" si="0"/>
        <v>연구부</v>
      </c>
      <c r="E28" s="74" t="s">
        <v>160</v>
      </c>
      <c r="F28" s="78">
        <v>1200000</v>
      </c>
      <c r="G28" s="74">
        <v>2</v>
      </c>
      <c r="H28" s="78">
        <f t="shared" si="1"/>
        <v>50000</v>
      </c>
      <c r="I28" s="78">
        <f t="shared" si="2"/>
        <v>24000</v>
      </c>
      <c r="J28" s="135">
        <f t="shared" si="3"/>
        <v>1274000</v>
      </c>
    </row>
    <row r="29" spans="2:10" ht="17.149999999999999" customHeight="1">
      <c r="B29" s="74" t="s">
        <v>242</v>
      </c>
      <c r="C29" s="74" t="s">
        <v>243</v>
      </c>
      <c r="D29" s="74" t="str">
        <f t="shared" si="0"/>
        <v>관리부</v>
      </c>
      <c r="E29" s="74" t="s">
        <v>160</v>
      </c>
      <c r="F29" s="78">
        <v>1200000</v>
      </c>
      <c r="G29" s="74">
        <v>3</v>
      </c>
      <c r="H29" s="78">
        <f t="shared" si="1"/>
        <v>50000</v>
      </c>
      <c r="I29" s="78">
        <f t="shared" si="2"/>
        <v>36000</v>
      </c>
      <c r="J29" s="135">
        <f t="shared" si="3"/>
        <v>1286000</v>
      </c>
    </row>
    <row r="30" spans="2:10" ht="17.149999999999999" customHeight="1">
      <c r="B30" s="74" t="s">
        <v>244</v>
      </c>
      <c r="C30" s="74" t="s">
        <v>245</v>
      </c>
      <c r="D30" s="74" t="str">
        <f t="shared" si="0"/>
        <v>경리부</v>
      </c>
      <c r="E30" s="74" t="s">
        <v>160</v>
      </c>
      <c r="F30" s="78">
        <v>1200000</v>
      </c>
      <c r="G30" s="74">
        <v>1</v>
      </c>
      <c r="H30" s="78">
        <f t="shared" si="1"/>
        <v>50000</v>
      </c>
      <c r="I30" s="78">
        <f t="shared" si="2"/>
        <v>12000</v>
      </c>
      <c r="J30" s="135">
        <f t="shared" si="3"/>
        <v>1262000</v>
      </c>
    </row>
    <row r="31" spans="2:10" ht="17.149999999999999" customHeight="1">
      <c r="B31" s="76" t="s">
        <v>246</v>
      </c>
      <c r="C31" s="74" t="s">
        <v>228</v>
      </c>
      <c r="D31" s="74" t="str">
        <f t="shared" si="0"/>
        <v>연구부</v>
      </c>
      <c r="E31" s="74" t="s">
        <v>162</v>
      </c>
      <c r="F31" s="78">
        <v>1500000</v>
      </c>
      <c r="G31" s="74">
        <v>6</v>
      </c>
      <c r="H31" s="78">
        <f t="shared" si="1"/>
        <v>200000</v>
      </c>
      <c r="I31" s="78">
        <f t="shared" si="2"/>
        <v>90000</v>
      </c>
      <c r="J31" s="135">
        <f t="shared" si="3"/>
        <v>1790000</v>
      </c>
    </row>
    <row r="32" spans="2:10" ht="17.149999999999999" customHeight="1">
      <c r="B32" s="74" t="s">
        <v>247</v>
      </c>
      <c r="C32" s="74" t="s">
        <v>230</v>
      </c>
      <c r="D32" s="74" t="str">
        <f t="shared" si="0"/>
        <v>관리부</v>
      </c>
      <c r="E32" s="74" t="s">
        <v>161</v>
      </c>
      <c r="F32" s="78">
        <v>1400000</v>
      </c>
      <c r="G32" s="74">
        <v>5</v>
      </c>
      <c r="H32" s="78">
        <f t="shared" si="1"/>
        <v>150000</v>
      </c>
      <c r="I32" s="78">
        <f t="shared" si="2"/>
        <v>70000</v>
      </c>
      <c r="J32" s="135">
        <f t="shared" si="3"/>
        <v>1620000</v>
      </c>
    </row>
    <row r="33" spans="2:10" ht="17.149999999999999" customHeight="1">
      <c r="B33" s="74" t="s">
        <v>248</v>
      </c>
      <c r="C33" s="74" t="s">
        <v>232</v>
      </c>
      <c r="D33" s="74" t="str">
        <f t="shared" si="0"/>
        <v>경리부</v>
      </c>
      <c r="E33" s="74" t="s">
        <v>161</v>
      </c>
      <c r="F33" s="78">
        <v>1400000</v>
      </c>
      <c r="G33" s="74">
        <v>5</v>
      </c>
      <c r="H33" s="78">
        <f t="shared" si="1"/>
        <v>150000</v>
      </c>
      <c r="I33" s="78">
        <f t="shared" si="2"/>
        <v>70000</v>
      </c>
      <c r="J33" s="135">
        <f t="shared" si="3"/>
        <v>1620000</v>
      </c>
    </row>
    <row r="34" spans="2:10" ht="17.149999999999999" customHeight="1">
      <c r="B34" s="76" t="s">
        <v>249</v>
      </c>
      <c r="C34" s="74" t="s">
        <v>234</v>
      </c>
      <c r="D34" s="74" t="str">
        <f t="shared" si="0"/>
        <v>연구부</v>
      </c>
      <c r="E34" s="74" t="s">
        <v>235</v>
      </c>
      <c r="F34" s="78">
        <v>1300000</v>
      </c>
      <c r="G34" s="74">
        <v>4</v>
      </c>
      <c r="H34" s="78">
        <f t="shared" si="1"/>
        <v>100000</v>
      </c>
      <c r="I34" s="78">
        <f t="shared" si="2"/>
        <v>52000</v>
      </c>
      <c r="J34" s="135">
        <f t="shared" si="3"/>
        <v>1452000</v>
      </c>
    </row>
    <row r="35" spans="2:10" ht="17.149999999999999" customHeight="1">
      <c r="B35" s="74" t="s">
        <v>250</v>
      </c>
      <c r="C35" s="74" t="s">
        <v>228</v>
      </c>
      <c r="D35" s="74" t="str">
        <f t="shared" si="0"/>
        <v>관리부</v>
      </c>
      <c r="E35" s="74" t="s">
        <v>162</v>
      </c>
      <c r="F35" s="78">
        <v>1500000</v>
      </c>
      <c r="G35" s="74">
        <v>5</v>
      </c>
      <c r="H35" s="78">
        <f t="shared" si="1"/>
        <v>200000</v>
      </c>
      <c r="I35" s="78">
        <f t="shared" si="2"/>
        <v>75000</v>
      </c>
      <c r="J35" s="135">
        <f t="shared" si="3"/>
        <v>1775000</v>
      </c>
    </row>
    <row r="36" spans="2:10" ht="17.149999999999999" customHeight="1">
      <c r="B36" s="74" t="s">
        <v>251</v>
      </c>
      <c r="C36" s="74" t="s">
        <v>230</v>
      </c>
      <c r="D36" s="74" t="str">
        <f t="shared" si="0"/>
        <v>경리부</v>
      </c>
      <c r="E36" s="74" t="s">
        <v>161</v>
      </c>
      <c r="F36" s="78">
        <v>1400000</v>
      </c>
      <c r="G36" s="74">
        <v>7</v>
      </c>
      <c r="H36" s="78">
        <f t="shared" si="1"/>
        <v>150000</v>
      </c>
      <c r="I36" s="78">
        <f t="shared" si="2"/>
        <v>98000</v>
      </c>
      <c r="J36" s="135">
        <f t="shared" si="3"/>
        <v>1648000</v>
      </c>
    </row>
    <row r="37" spans="2:10" ht="17.149999999999999" customHeight="1">
      <c r="B37" s="76" t="s">
        <v>252</v>
      </c>
      <c r="C37" s="74" t="s">
        <v>232</v>
      </c>
      <c r="D37" s="74" t="str">
        <f t="shared" si="0"/>
        <v>연구부</v>
      </c>
      <c r="E37" s="74" t="s">
        <v>161</v>
      </c>
      <c r="F37" s="78">
        <v>1400000</v>
      </c>
      <c r="G37" s="74">
        <v>6</v>
      </c>
      <c r="H37" s="78">
        <f t="shared" si="1"/>
        <v>150000</v>
      </c>
      <c r="I37" s="78">
        <f t="shared" si="2"/>
        <v>84000</v>
      </c>
      <c r="J37" s="135">
        <f t="shared" si="3"/>
        <v>1634000</v>
      </c>
    </row>
    <row r="38" spans="2:10" ht="17.149999999999999" customHeight="1">
      <c r="B38" s="74" t="s">
        <v>253</v>
      </c>
      <c r="C38" s="74" t="s">
        <v>234</v>
      </c>
      <c r="D38" s="74" t="str">
        <f t="shared" si="0"/>
        <v>관리부</v>
      </c>
      <c r="E38" s="74" t="s">
        <v>235</v>
      </c>
      <c r="F38" s="78">
        <v>1300000</v>
      </c>
      <c r="G38" s="74">
        <v>5</v>
      </c>
      <c r="H38" s="78">
        <f t="shared" si="1"/>
        <v>100000</v>
      </c>
      <c r="I38" s="78">
        <f t="shared" si="2"/>
        <v>65000</v>
      </c>
      <c r="J38" s="135">
        <f t="shared" si="3"/>
        <v>1465000</v>
      </c>
    </row>
    <row r="39" spans="2:10" ht="17.149999999999999" customHeight="1">
      <c r="B39" s="74" t="s">
        <v>254</v>
      </c>
      <c r="C39" s="74" t="s">
        <v>237</v>
      </c>
      <c r="D39" s="74" t="str">
        <f t="shared" si="0"/>
        <v>경리부</v>
      </c>
      <c r="E39" s="74" t="s">
        <v>235</v>
      </c>
      <c r="F39" s="78">
        <v>1300000</v>
      </c>
      <c r="G39" s="74">
        <v>5</v>
      </c>
      <c r="H39" s="78">
        <f t="shared" si="1"/>
        <v>100000</v>
      </c>
      <c r="I39" s="78">
        <f t="shared" si="2"/>
        <v>65000</v>
      </c>
      <c r="J39" s="135">
        <f t="shared" si="3"/>
        <v>1465000</v>
      </c>
    </row>
    <row r="40" spans="2:10" ht="17.149999999999999" customHeight="1">
      <c r="B40" s="76" t="s">
        <v>255</v>
      </c>
      <c r="C40" s="74" t="s">
        <v>239</v>
      </c>
      <c r="D40" s="74" t="str">
        <f t="shared" si="0"/>
        <v>연구부</v>
      </c>
      <c r="E40" s="74" t="s">
        <v>160</v>
      </c>
      <c r="F40" s="78">
        <v>1200000</v>
      </c>
      <c r="G40" s="74">
        <v>4</v>
      </c>
      <c r="H40" s="78">
        <f t="shared" si="1"/>
        <v>50000</v>
      </c>
      <c r="I40" s="78">
        <f t="shared" si="2"/>
        <v>48000</v>
      </c>
      <c r="J40" s="135">
        <f t="shared" si="3"/>
        <v>1298000</v>
      </c>
    </row>
    <row r="41" spans="2:10" ht="17.149999999999999" customHeight="1">
      <c r="B41" s="74" t="s">
        <v>256</v>
      </c>
      <c r="C41" s="74" t="s">
        <v>241</v>
      </c>
      <c r="D41" s="74" t="str">
        <f t="shared" si="0"/>
        <v>관리부</v>
      </c>
      <c r="E41" s="74" t="s">
        <v>160</v>
      </c>
      <c r="F41" s="78">
        <v>1200000</v>
      </c>
      <c r="G41" s="74">
        <v>5</v>
      </c>
      <c r="H41" s="78">
        <f t="shared" si="1"/>
        <v>50000</v>
      </c>
      <c r="I41" s="78">
        <f t="shared" si="2"/>
        <v>60000</v>
      </c>
      <c r="J41" s="135">
        <f t="shared" si="3"/>
        <v>1310000</v>
      </c>
    </row>
    <row r="42" spans="2:10" ht="17.149999999999999" customHeight="1">
      <c r="B42" s="74" t="s">
        <v>257</v>
      </c>
      <c r="C42" s="74" t="s">
        <v>243</v>
      </c>
      <c r="D42" s="74" t="str">
        <f t="shared" si="0"/>
        <v>경리부</v>
      </c>
      <c r="E42" s="74" t="s">
        <v>160</v>
      </c>
      <c r="F42" s="78">
        <v>1200000</v>
      </c>
      <c r="G42" s="74">
        <v>7</v>
      </c>
      <c r="H42" s="78">
        <f t="shared" si="1"/>
        <v>50000</v>
      </c>
      <c r="I42" s="78">
        <f t="shared" si="2"/>
        <v>84000</v>
      </c>
      <c r="J42" s="135">
        <f t="shared" si="3"/>
        <v>1334000</v>
      </c>
    </row>
    <row r="43" spans="2:10" ht="17.149999999999999" customHeight="1">
      <c r="B43" s="76" t="s">
        <v>258</v>
      </c>
      <c r="C43" s="74" t="s">
        <v>245</v>
      </c>
      <c r="D43" s="74" t="str">
        <f t="shared" si="0"/>
        <v>연구부</v>
      </c>
      <c r="E43" s="74" t="s">
        <v>160</v>
      </c>
      <c r="F43" s="78">
        <v>1200000</v>
      </c>
      <c r="G43" s="74">
        <v>2</v>
      </c>
      <c r="H43" s="78">
        <f t="shared" si="1"/>
        <v>50000</v>
      </c>
      <c r="I43" s="78">
        <f t="shared" si="2"/>
        <v>24000</v>
      </c>
      <c r="J43" s="135">
        <f t="shared" si="3"/>
        <v>1274000</v>
      </c>
    </row>
    <row r="44" spans="2:10" ht="17.149999999999999" customHeight="1">
      <c r="B44" s="74" t="s">
        <v>259</v>
      </c>
      <c r="C44" s="74" t="s">
        <v>228</v>
      </c>
      <c r="D44" s="74" t="str">
        <f t="shared" si="0"/>
        <v>관리부</v>
      </c>
      <c r="E44" s="74" t="s">
        <v>162</v>
      </c>
      <c r="F44" s="78">
        <v>1500000</v>
      </c>
      <c r="G44" s="74">
        <v>3</v>
      </c>
      <c r="H44" s="78">
        <f t="shared" si="1"/>
        <v>200000</v>
      </c>
      <c r="I44" s="78">
        <f t="shared" si="2"/>
        <v>45000</v>
      </c>
      <c r="J44" s="135">
        <f t="shared" si="3"/>
        <v>1745000</v>
      </c>
    </row>
    <row r="45" spans="2:10" ht="17.149999999999999" customHeight="1">
      <c r="B45" s="74" t="s">
        <v>260</v>
      </c>
      <c r="C45" s="74" t="s">
        <v>230</v>
      </c>
      <c r="D45" s="74" t="str">
        <f t="shared" si="0"/>
        <v>경리부</v>
      </c>
      <c r="E45" s="74" t="s">
        <v>161</v>
      </c>
      <c r="F45" s="78">
        <v>1400000</v>
      </c>
      <c r="G45" s="74">
        <v>1</v>
      </c>
      <c r="H45" s="78">
        <f t="shared" si="1"/>
        <v>150000</v>
      </c>
      <c r="I45" s="78">
        <f t="shared" si="2"/>
        <v>14000</v>
      </c>
      <c r="J45" s="135">
        <f t="shared" si="3"/>
        <v>1564000</v>
      </c>
    </row>
    <row r="46" spans="2:10" ht="17.149999999999999" customHeight="1">
      <c r="B46" s="76" t="s">
        <v>261</v>
      </c>
      <c r="C46" s="74" t="s">
        <v>232</v>
      </c>
      <c r="D46" s="74" t="str">
        <f t="shared" si="0"/>
        <v>연구부</v>
      </c>
      <c r="E46" s="74" t="s">
        <v>161</v>
      </c>
      <c r="F46" s="78">
        <v>1400000</v>
      </c>
      <c r="G46" s="74">
        <v>6</v>
      </c>
      <c r="H46" s="78">
        <f t="shared" si="1"/>
        <v>150000</v>
      </c>
      <c r="I46" s="78">
        <f t="shared" si="2"/>
        <v>84000</v>
      </c>
      <c r="J46" s="135">
        <f t="shared" si="3"/>
        <v>1634000</v>
      </c>
    </row>
    <row r="47" spans="2:10" ht="17.149999999999999" customHeight="1">
      <c r="B47" s="74" t="s">
        <v>262</v>
      </c>
      <c r="C47" s="74" t="s">
        <v>234</v>
      </c>
      <c r="D47" s="74" t="str">
        <f t="shared" si="0"/>
        <v>관리부</v>
      </c>
      <c r="E47" s="74" t="s">
        <v>235</v>
      </c>
      <c r="F47" s="78">
        <v>1300000</v>
      </c>
      <c r="G47" s="74">
        <v>5</v>
      </c>
      <c r="H47" s="78">
        <f t="shared" si="1"/>
        <v>100000</v>
      </c>
      <c r="I47" s="78">
        <f t="shared" si="2"/>
        <v>65000</v>
      </c>
      <c r="J47" s="135">
        <f t="shared" si="3"/>
        <v>1465000</v>
      </c>
    </row>
    <row r="48" spans="2:10" ht="17.149999999999999" customHeight="1">
      <c r="B48" s="74" t="s">
        <v>263</v>
      </c>
      <c r="C48" s="74" t="s">
        <v>237</v>
      </c>
      <c r="D48" s="74" t="str">
        <f t="shared" si="0"/>
        <v>경리부</v>
      </c>
      <c r="E48" s="74" t="s">
        <v>235</v>
      </c>
      <c r="F48" s="78">
        <v>1300000</v>
      </c>
      <c r="G48" s="74">
        <v>5</v>
      </c>
      <c r="H48" s="78">
        <f t="shared" si="1"/>
        <v>100000</v>
      </c>
      <c r="I48" s="78">
        <f t="shared" si="2"/>
        <v>65000</v>
      </c>
      <c r="J48" s="135">
        <f t="shared" si="3"/>
        <v>1465000</v>
      </c>
    </row>
    <row r="49" spans="2:10" ht="17.149999999999999" customHeight="1">
      <c r="B49" s="76" t="s">
        <v>264</v>
      </c>
      <c r="C49" s="74" t="s">
        <v>239</v>
      </c>
      <c r="D49" s="74" t="str">
        <f t="shared" si="0"/>
        <v>연구부</v>
      </c>
      <c r="E49" s="74" t="s">
        <v>160</v>
      </c>
      <c r="F49" s="78">
        <v>1200000</v>
      </c>
      <c r="G49" s="74">
        <v>4</v>
      </c>
      <c r="H49" s="78">
        <f t="shared" si="1"/>
        <v>50000</v>
      </c>
      <c r="I49" s="78">
        <f t="shared" si="2"/>
        <v>48000</v>
      </c>
      <c r="J49" s="135">
        <f t="shared" si="3"/>
        <v>1298000</v>
      </c>
    </row>
    <row r="50" spans="2:10" ht="17.149999999999999" customHeight="1">
      <c r="B50" s="74" t="s">
        <v>265</v>
      </c>
      <c r="C50" s="74" t="s">
        <v>241</v>
      </c>
      <c r="D50" s="74" t="str">
        <f t="shared" si="0"/>
        <v>관리부</v>
      </c>
      <c r="E50" s="74" t="s">
        <v>160</v>
      </c>
      <c r="F50" s="78">
        <v>1200000</v>
      </c>
      <c r="G50" s="74">
        <v>5</v>
      </c>
      <c r="H50" s="78">
        <f t="shared" si="1"/>
        <v>50000</v>
      </c>
      <c r="I50" s="78">
        <f t="shared" si="2"/>
        <v>60000</v>
      </c>
      <c r="J50" s="135">
        <f t="shared" si="3"/>
        <v>1310000</v>
      </c>
    </row>
    <row r="51" spans="2:10" ht="17.149999999999999" customHeight="1">
      <c r="B51" s="74" t="s">
        <v>266</v>
      </c>
      <c r="C51" s="74" t="s">
        <v>243</v>
      </c>
      <c r="D51" s="74" t="str">
        <f t="shared" si="0"/>
        <v>경리부</v>
      </c>
      <c r="E51" s="74" t="s">
        <v>160</v>
      </c>
      <c r="F51" s="78">
        <v>1200000</v>
      </c>
      <c r="G51" s="74">
        <v>7</v>
      </c>
      <c r="H51" s="78">
        <f t="shared" si="1"/>
        <v>50000</v>
      </c>
      <c r="I51" s="78">
        <f t="shared" si="2"/>
        <v>84000</v>
      </c>
      <c r="J51" s="135">
        <f t="shared" si="3"/>
        <v>1334000</v>
      </c>
    </row>
    <row r="52" spans="2:10" ht="17.149999999999999" customHeight="1">
      <c r="B52" s="76" t="s">
        <v>267</v>
      </c>
      <c r="C52" s="74" t="s">
        <v>245</v>
      </c>
      <c r="D52" s="74" t="str">
        <f t="shared" si="0"/>
        <v>연구부</v>
      </c>
      <c r="E52" s="74" t="s">
        <v>160</v>
      </c>
      <c r="F52" s="78">
        <v>1200000</v>
      </c>
      <c r="G52" s="74">
        <v>2</v>
      </c>
      <c r="H52" s="78">
        <f t="shared" si="1"/>
        <v>50000</v>
      </c>
      <c r="I52" s="78">
        <f t="shared" si="2"/>
        <v>24000</v>
      </c>
      <c r="J52" s="135">
        <f t="shared" si="3"/>
        <v>1274000</v>
      </c>
    </row>
    <row r="53" spans="2:10" ht="17.149999999999999" customHeight="1">
      <c r="B53" s="74" t="s">
        <v>268</v>
      </c>
      <c r="C53" s="74" t="s">
        <v>228</v>
      </c>
      <c r="D53" s="74" t="str">
        <f t="shared" si="0"/>
        <v>관리부</v>
      </c>
      <c r="E53" s="74" t="s">
        <v>162</v>
      </c>
      <c r="F53" s="78">
        <v>1500000</v>
      </c>
      <c r="G53" s="74">
        <v>3</v>
      </c>
      <c r="H53" s="78">
        <f t="shared" si="1"/>
        <v>200000</v>
      </c>
      <c r="I53" s="78">
        <f t="shared" si="2"/>
        <v>45000</v>
      </c>
      <c r="J53" s="135">
        <f t="shared" si="3"/>
        <v>1745000</v>
      </c>
    </row>
    <row r="54" spans="2:10" ht="17.149999999999999" customHeight="1">
      <c r="B54" s="74" t="s">
        <v>269</v>
      </c>
      <c r="C54" s="74" t="s">
        <v>270</v>
      </c>
      <c r="D54" s="74" t="str">
        <f t="shared" si="0"/>
        <v>경리부</v>
      </c>
      <c r="E54" s="74" t="s">
        <v>156</v>
      </c>
      <c r="F54" s="78">
        <v>1400000</v>
      </c>
      <c r="G54" s="74">
        <v>1</v>
      </c>
      <c r="H54" s="78">
        <f t="shared" si="1"/>
        <v>150000</v>
      </c>
      <c r="I54" s="78">
        <f t="shared" si="2"/>
        <v>14000</v>
      </c>
      <c r="J54" s="135">
        <f t="shared" si="3"/>
        <v>1564000</v>
      </c>
    </row>
    <row r="55" spans="2:10" ht="17.149999999999999" customHeight="1">
      <c r="B55" s="76" t="s">
        <v>271</v>
      </c>
      <c r="C55" s="74" t="s">
        <v>272</v>
      </c>
      <c r="D55" s="74" t="str">
        <f t="shared" si="0"/>
        <v>연구부</v>
      </c>
      <c r="E55" s="74" t="s">
        <v>156</v>
      </c>
      <c r="F55" s="78">
        <v>1400000</v>
      </c>
      <c r="G55" s="74">
        <v>6</v>
      </c>
      <c r="H55" s="78">
        <f t="shared" si="1"/>
        <v>150000</v>
      </c>
      <c r="I55" s="78">
        <f t="shared" si="2"/>
        <v>84000</v>
      </c>
      <c r="J55" s="135">
        <f t="shared" si="3"/>
        <v>1634000</v>
      </c>
    </row>
    <row r="56" spans="2:10" ht="17.149999999999999" customHeight="1">
      <c r="B56" s="74" t="s">
        <v>273</v>
      </c>
      <c r="C56" s="74" t="s">
        <v>274</v>
      </c>
      <c r="D56" s="74" t="str">
        <f t="shared" si="0"/>
        <v>관리부</v>
      </c>
      <c r="E56" s="74" t="s">
        <v>157</v>
      </c>
      <c r="F56" s="78">
        <v>1300000</v>
      </c>
      <c r="G56" s="74">
        <v>5</v>
      </c>
      <c r="H56" s="78">
        <f t="shared" si="1"/>
        <v>100000</v>
      </c>
      <c r="I56" s="78">
        <f t="shared" si="2"/>
        <v>65000</v>
      </c>
      <c r="J56" s="135">
        <f t="shared" si="3"/>
        <v>1465000</v>
      </c>
    </row>
    <row r="57" spans="2:10" ht="17.149999999999999" customHeight="1">
      <c r="B57" s="74" t="s">
        <v>275</v>
      </c>
      <c r="C57" s="74" t="s">
        <v>276</v>
      </c>
      <c r="D57" s="74" t="str">
        <f t="shared" si="0"/>
        <v>경리부</v>
      </c>
      <c r="E57" s="74" t="s">
        <v>157</v>
      </c>
      <c r="F57" s="78">
        <v>1300000</v>
      </c>
      <c r="G57" s="74">
        <v>6</v>
      </c>
      <c r="H57" s="78">
        <f t="shared" si="1"/>
        <v>100000</v>
      </c>
      <c r="I57" s="78">
        <f t="shared" si="2"/>
        <v>78000</v>
      </c>
      <c r="J57" s="135">
        <f t="shared" si="3"/>
        <v>1478000</v>
      </c>
    </row>
    <row r="58" spans="2:10" ht="17.149999999999999" customHeight="1">
      <c r="B58" s="76" t="s">
        <v>277</v>
      </c>
      <c r="C58" s="74" t="s">
        <v>278</v>
      </c>
      <c r="D58" s="74" t="str">
        <f t="shared" si="0"/>
        <v>연구부</v>
      </c>
      <c r="E58" s="74" t="s">
        <v>158</v>
      </c>
      <c r="F58" s="78">
        <v>1200000</v>
      </c>
      <c r="G58" s="74">
        <v>5</v>
      </c>
      <c r="H58" s="78">
        <f t="shared" si="1"/>
        <v>50000</v>
      </c>
      <c r="I58" s="78">
        <f t="shared" si="2"/>
        <v>60000</v>
      </c>
      <c r="J58" s="135">
        <f t="shared" si="3"/>
        <v>1310000</v>
      </c>
    </row>
    <row r="59" spans="2:10" ht="17.149999999999999" customHeight="1">
      <c r="B59" s="74" t="s">
        <v>279</v>
      </c>
      <c r="C59" s="74" t="s">
        <v>280</v>
      </c>
      <c r="D59" s="74" t="str">
        <f t="shared" si="0"/>
        <v>관리부</v>
      </c>
      <c r="E59" s="74" t="s">
        <v>158</v>
      </c>
      <c r="F59" s="78">
        <v>1200000</v>
      </c>
      <c r="G59" s="74">
        <v>5</v>
      </c>
      <c r="H59" s="78">
        <f t="shared" si="1"/>
        <v>50000</v>
      </c>
      <c r="I59" s="78">
        <f t="shared" si="2"/>
        <v>60000</v>
      </c>
      <c r="J59" s="135">
        <f t="shared" si="3"/>
        <v>1310000</v>
      </c>
    </row>
    <row r="60" spans="2:10" ht="17.149999999999999" customHeight="1">
      <c r="B60" s="74" t="s">
        <v>281</v>
      </c>
      <c r="C60" s="74" t="s">
        <v>282</v>
      </c>
      <c r="D60" s="74" t="str">
        <f t="shared" si="0"/>
        <v>경리부</v>
      </c>
      <c r="E60" s="74" t="s">
        <v>158</v>
      </c>
      <c r="F60" s="78">
        <v>1200000</v>
      </c>
      <c r="G60" s="74">
        <v>4</v>
      </c>
      <c r="H60" s="78">
        <f t="shared" si="1"/>
        <v>50000</v>
      </c>
      <c r="I60" s="78">
        <f t="shared" si="2"/>
        <v>48000</v>
      </c>
      <c r="J60" s="135">
        <f t="shared" si="3"/>
        <v>1298000</v>
      </c>
    </row>
    <row r="61" spans="2:10" ht="17.149999999999999" customHeight="1">
      <c r="B61" s="76" t="s">
        <v>283</v>
      </c>
      <c r="C61" s="74" t="s">
        <v>284</v>
      </c>
      <c r="D61" s="74" t="str">
        <f t="shared" si="0"/>
        <v>연구부</v>
      </c>
      <c r="E61" s="74" t="s">
        <v>158</v>
      </c>
      <c r="F61" s="78">
        <v>1200000</v>
      </c>
      <c r="G61" s="74">
        <v>5</v>
      </c>
      <c r="H61" s="78">
        <f t="shared" si="1"/>
        <v>50000</v>
      </c>
      <c r="I61" s="78">
        <f t="shared" si="2"/>
        <v>60000</v>
      </c>
      <c r="J61" s="135">
        <f t="shared" si="3"/>
        <v>1310000</v>
      </c>
    </row>
    <row r="62" spans="2:10" ht="17.149999999999999" customHeight="1">
      <c r="B62" s="74" t="s">
        <v>285</v>
      </c>
      <c r="C62" s="74" t="s">
        <v>286</v>
      </c>
      <c r="D62" s="74" t="str">
        <f t="shared" si="0"/>
        <v>관리부</v>
      </c>
      <c r="E62" s="74" t="s">
        <v>159</v>
      </c>
      <c r="F62" s="78">
        <v>1500000</v>
      </c>
      <c r="G62" s="74">
        <v>7</v>
      </c>
      <c r="H62" s="78">
        <f t="shared" si="1"/>
        <v>200000</v>
      </c>
      <c r="I62" s="78">
        <f t="shared" si="2"/>
        <v>105000</v>
      </c>
      <c r="J62" s="135">
        <f t="shared" si="3"/>
        <v>1805000</v>
      </c>
    </row>
    <row r="63" spans="2:10" ht="17.149999999999999" customHeight="1">
      <c r="B63" s="74" t="s">
        <v>287</v>
      </c>
      <c r="C63" s="74" t="s">
        <v>270</v>
      </c>
      <c r="D63" s="74" t="str">
        <f t="shared" si="0"/>
        <v>경리부</v>
      </c>
      <c r="E63" s="74" t="s">
        <v>156</v>
      </c>
      <c r="F63" s="78">
        <v>1400000</v>
      </c>
      <c r="G63" s="74">
        <v>2</v>
      </c>
      <c r="H63" s="78">
        <f t="shared" si="1"/>
        <v>150000</v>
      </c>
      <c r="I63" s="78">
        <f t="shared" si="2"/>
        <v>28000</v>
      </c>
      <c r="J63" s="135">
        <f t="shared" si="3"/>
        <v>1578000</v>
      </c>
    </row>
    <row r="64" spans="2:10" ht="17.149999999999999" customHeight="1">
      <c r="B64" s="76" t="s">
        <v>288</v>
      </c>
      <c r="C64" s="74" t="s">
        <v>272</v>
      </c>
      <c r="D64" s="74" t="str">
        <f t="shared" si="0"/>
        <v>연구부</v>
      </c>
      <c r="E64" s="74" t="s">
        <v>156</v>
      </c>
      <c r="F64" s="78">
        <v>1400000</v>
      </c>
      <c r="G64" s="74">
        <v>3</v>
      </c>
      <c r="H64" s="78">
        <f t="shared" si="1"/>
        <v>150000</v>
      </c>
      <c r="I64" s="78">
        <f t="shared" si="2"/>
        <v>42000</v>
      </c>
      <c r="J64" s="135">
        <f t="shared" si="3"/>
        <v>1592000</v>
      </c>
    </row>
    <row r="65" spans="2:10" ht="17.149999999999999" customHeight="1">
      <c r="B65" s="74" t="s">
        <v>289</v>
      </c>
      <c r="C65" s="74" t="s">
        <v>274</v>
      </c>
      <c r="D65" s="74" t="str">
        <f t="shared" si="0"/>
        <v>관리부</v>
      </c>
      <c r="E65" s="74" t="s">
        <v>157</v>
      </c>
      <c r="F65" s="78">
        <v>1300000</v>
      </c>
      <c r="G65" s="74">
        <v>1</v>
      </c>
      <c r="H65" s="78">
        <f t="shared" si="1"/>
        <v>100000</v>
      </c>
      <c r="I65" s="78">
        <f t="shared" si="2"/>
        <v>13000</v>
      </c>
      <c r="J65" s="135">
        <f t="shared" si="3"/>
        <v>1413000</v>
      </c>
    </row>
    <row r="66" spans="2:10" ht="17.149999999999999" customHeight="1">
      <c r="B66" s="74" t="s">
        <v>290</v>
      </c>
      <c r="C66" s="74" t="s">
        <v>286</v>
      </c>
      <c r="D66" s="74" t="str">
        <f t="shared" si="0"/>
        <v>경리부</v>
      </c>
      <c r="E66" s="74" t="s">
        <v>159</v>
      </c>
      <c r="F66" s="78">
        <v>1500000</v>
      </c>
      <c r="G66" s="74">
        <v>6</v>
      </c>
      <c r="H66" s="78">
        <f t="shared" si="1"/>
        <v>200000</v>
      </c>
      <c r="I66" s="78">
        <f t="shared" si="2"/>
        <v>90000</v>
      </c>
      <c r="J66" s="135">
        <f t="shared" si="3"/>
        <v>1790000</v>
      </c>
    </row>
    <row r="67" spans="2:10" ht="17.149999999999999" customHeight="1">
      <c r="B67" s="76" t="s">
        <v>291</v>
      </c>
      <c r="C67" s="74" t="s">
        <v>270</v>
      </c>
      <c r="D67" s="74" t="str">
        <f t="shared" si="0"/>
        <v>연구부</v>
      </c>
      <c r="E67" s="74" t="s">
        <v>156</v>
      </c>
      <c r="F67" s="78">
        <v>1400000</v>
      </c>
      <c r="G67" s="74">
        <v>5</v>
      </c>
      <c r="H67" s="78">
        <f t="shared" si="1"/>
        <v>150000</v>
      </c>
      <c r="I67" s="78">
        <f t="shared" si="2"/>
        <v>70000</v>
      </c>
      <c r="J67" s="135">
        <f t="shared" si="3"/>
        <v>1620000</v>
      </c>
    </row>
    <row r="68" spans="2:10" ht="17.149999999999999" customHeight="1">
      <c r="B68" s="74" t="s">
        <v>292</v>
      </c>
      <c r="C68" s="74" t="s">
        <v>272</v>
      </c>
      <c r="D68" s="74" t="str">
        <f t="shared" ref="D68:D112" si="4">IF(LEFT(B68,1)="A","연구부",IF(LEFT(B68,1)="B","관리부","경리부"))</f>
        <v>관리부</v>
      </c>
      <c r="E68" s="74" t="s">
        <v>156</v>
      </c>
      <c r="F68" s="78">
        <v>1400000</v>
      </c>
      <c r="G68" s="74">
        <v>5</v>
      </c>
      <c r="H68" s="78">
        <f t="shared" ref="H68:H112" si="5">IF(E68="부장",200000,IF(E68="과장",150000,IF(E68="대리",100000,50000)))</f>
        <v>150000</v>
      </c>
      <c r="I68" s="78">
        <f t="shared" ref="I68:I112" si="6">F68*G68*0.01</f>
        <v>70000</v>
      </c>
      <c r="J68" s="135">
        <f t="shared" ref="J68:J112" si="7">F68+I68+H68</f>
        <v>1620000</v>
      </c>
    </row>
    <row r="69" spans="2:10" ht="17.149999999999999" customHeight="1">
      <c r="B69" s="74" t="s">
        <v>293</v>
      </c>
      <c r="C69" s="74" t="s">
        <v>274</v>
      </c>
      <c r="D69" s="74" t="str">
        <f t="shared" si="4"/>
        <v>경리부</v>
      </c>
      <c r="E69" s="74" t="s">
        <v>157</v>
      </c>
      <c r="F69" s="78">
        <v>1300000</v>
      </c>
      <c r="G69" s="74">
        <v>4</v>
      </c>
      <c r="H69" s="78">
        <f t="shared" si="5"/>
        <v>100000</v>
      </c>
      <c r="I69" s="78">
        <f t="shared" si="6"/>
        <v>52000</v>
      </c>
      <c r="J69" s="135">
        <f t="shared" si="7"/>
        <v>1452000</v>
      </c>
    </row>
    <row r="70" spans="2:10" ht="17.149999999999999" customHeight="1">
      <c r="B70" s="76" t="s">
        <v>294</v>
      </c>
      <c r="C70" s="74" t="s">
        <v>276</v>
      </c>
      <c r="D70" s="74" t="str">
        <f t="shared" si="4"/>
        <v>연구부</v>
      </c>
      <c r="E70" s="74" t="s">
        <v>157</v>
      </c>
      <c r="F70" s="78">
        <v>1300000</v>
      </c>
      <c r="G70" s="74">
        <v>5</v>
      </c>
      <c r="H70" s="78">
        <f t="shared" si="5"/>
        <v>100000</v>
      </c>
      <c r="I70" s="78">
        <f t="shared" si="6"/>
        <v>65000</v>
      </c>
      <c r="J70" s="135">
        <f t="shared" si="7"/>
        <v>1465000</v>
      </c>
    </row>
    <row r="71" spans="2:10" ht="17.149999999999999" customHeight="1">
      <c r="B71" s="74" t="s">
        <v>295</v>
      </c>
      <c r="C71" s="74" t="s">
        <v>286</v>
      </c>
      <c r="D71" s="74" t="str">
        <f t="shared" si="4"/>
        <v>관리부</v>
      </c>
      <c r="E71" s="74" t="s">
        <v>159</v>
      </c>
      <c r="F71" s="78">
        <v>1305555.5555555599</v>
      </c>
      <c r="G71" s="74">
        <v>7</v>
      </c>
      <c r="H71" s="78">
        <f t="shared" si="5"/>
        <v>200000</v>
      </c>
      <c r="I71" s="78">
        <f t="shared" si="6"/>
        <v>91388.888888889196</v>
      </c>
      <c r="J71" s="135">
        <f t="shared" si="7"/>
        <v>1596944.4444444492</v>
      </c>
    </row>
    <row r="72" spans="2:10" ht="17.149999999999999" customHeight="1">
      <c r="B72" s="74" t="s">
        <v>296</v>
      </c>
      <c r="C72" s="74" t="s">
        <v>270</v>
      </c>
      <c r="D72" s="74" t="str">
        <f t="shared" si="4"/>
        <v>경리부</v>
      </c>
      <c r="E72" s="74" t="s">
        <v>156</v>
      </c>
      <c r="F72" s="78">
        <v>1288888.8888888899</v>
      </c>
      <c r="G72" s="74">
        <v>2</v>
      </c>
      <c r="H72" s="78">
        <f t="shared" si="5"/>
        <v>150000</v>
      </c>
      <c r="I72" s="78">
        <f t="shared" si="6"/>
        <v>25777.777777777799</v>
      </c>
      <c r="J72" s="135">
        <f t="shared" si="7"/>
        <v>1464666.6666666677</v>
      </c>
    </row>
    <row r="73" spans="2:10" ht="17.149999999999999" customHeight="1">
      <c r="B73" s="76" t="s">
        <v>297</v>
      </c>
      <c r="C73" s="74" t="s">
        <v>272</v>
      </c>
      <c r="D73" s="74" t="str">
        <f t="shared" si="4"/>
        <v>연구부</v>
      </c>
      <c r="E73" s="74" t="s">
        <v>156</v>
      </c>
      <c r="F73" s="78">
        <v>1272222.2222222199</v>
      </c>
      <c r="G73" s="74">
        <v>3</v>
      </c>
      <c r="H73" s="78">
        <f t="shared" si="5"/>
        <v>150000</v>
      </c>
      <c r="I73" s="78">
        <f t="shared" si="6"/>
        <v>38166.666666666599</v>
      </c>
      <c r="J73" s="135">
        <f t="shared" si="7"/>
        <v>1460388.8888888864</v>
      </c>
    </row>
    <row r="74" spans="2:10" ht="17.149999999999999" customHeight="1">
      <c r="B74" s="74" t="s">
        <v>298</v>
      </c>
      <c r="C74" s="74" t="s">
        <v>274</v>
      </c>
      <c r="D74" s="74" t="str">
        <f t="shared" si="4"/>
        <v>관리부</v>
      </c>
      <c r="E74" s="74" t="s">
        <v>157</v>
      </c>
      <c r="F74" s="78">
        <v>1255555.5555555599</v>
      </c>
      <c r="G74" s="74">
        <v>1</v>
      </c>
      <c r="H74" s="78">
        <f t="shared" si="5"/>
        <v>100000</v>
      </c>
      <c r="I74" s="78">
        <f t="shared" si="6"/>
        <v>12555.5555555556</v>
      </c>
      <c r="J74" s="135">
        <f t="shared" si="7"/>
        <v>1368111.1111111154</v>
      </c>
    </row>
    <row r="75" spans="2:10" ht="17.149999999999999" customHeight="1">
      <c r="B75" s="74" t="s">
        <v>299</v>
      </c>
      <c r="C75" s="74" t="s">
        <v>286</v>
      </c>
      <c r="D75" s="74" t="str">
        <f t="shared" si="4"/>
        <v>경리부</v>
      </c>
      <c r="E75" s="74" t="s">
        <v>159</v>
      </c>
      <c r="F75" s="78">
        <v>1238888.8888888899</v>
      </c>
      <c r="G75" s="74">
        <v>6</v>
      </c>
      <c r="H75" s="78">
        <f t="shared" si="5"/>
        <v>200000</v>
      </c>
      <c r="I75" s="78">
        <f t="shared" si="6"/>
        <v>74333.333333333401</v>
      </c>
      <c r="J75" s="135">
        <f t="shared" si="7"/>
        <v>1513222.2222222234</v>
      </c>
    </row>
    <row r="76" spans="2:10" ht="17.149999999999999" customHeight="1">
      <c r="B76" s="76" t="s">
        <v>300</v>
      </c>
      <c r="C76" s="74" t="s">
        <v>270</v>
      </c>
      <c r="D76" s="74" t="str">
        <f t="shared" si="4"/>
        <v>연구부</v>
      </c>
      <c r="E76" s="74" t="s">
        <v>156</v>
      </c>
      <c r="F76" s="78">
        <v>1222222.2222222199</v>
      </c>
      <c r="G76" s="74">
        <v>5</v>
      </c>
      <c r="H76" s="78">
        <f t="shared" si="5"/>
        <v>150000</v>
      </c>
      <c r="I76" s="78">
        <f t="shared" si="6"/>
        <v>61111.111111111</v>
      </c>
      <c r="J76" s="135">
        <f t="shared" si="7"/>
        <v>1433333.3333333309</v>
      </c>
    </row>
    <row r="77" spans="2:10" ht="17.149999999999999" customHeight="1">
      <c r="B77" s="74" t="s">
        <v>301</v>
      </c>
      <c r="C77" s="74" t="s">
        <v>272</v>
      </c>
      <c r="D77" s="74" t="str">
        <f t="shared" si="4"/>
        <v>관리부</v>
      </c>
      <c r="E77" s="74" t="s">
        <v>156</v>
      </c>
      <c r="F77" s="78">
        <v>1205555.5555555599</v>
      </c>
      <c r="G77" s="74">
        <v>5</v>
      </c>
      <c r="H77" s="78">
        <f t="shared" si="5"/>
        <v>150000</v>
      </c>
      <c r="I77" s="78">
        <f t="shared" si="6"/>
        <v>60277.777777777992</v>
      </c>
      <c r="J77" s="135">
        <f t="shared" si="7"/>
        <v>1415833.3333333379</v>
      </c>
    </row>
    <row r="78" spans="2:10" ht="17.149999999999999" customHeight="1">
      <c r="B78" s="74" t="s">
        <v>302</v>
      </c>
      <c r="C78" s="74" t="s">
        <v>274</v>
      </c>
      <c r="D78" s="74" t="str">
        <f t="shared" si="4"/>
        <v>경리부</v>
      </c>
      <c r="E78" s="74" t="s">
        <v>157</v>
      </c>
      <c r="F78" s="78">
        <v>1188888.8888888899</v>
      </c>
      <c r="G78" s="74">
        <v>6</v>
      </c>
      <c r="H78" s="78">
        <f t="shared" si="5"/>
        <v>100000</v>
      </c>
      <c r="I78" s="78">
        <f t="shared" si="6"/>
        <v>71333.333333333401</v>
      </c>
      <c r="J78" s="135">
        <f t="shared" si="7"/>
        <v>1360222.2222222234</v>
      </c>
    </row>
    <row r="79" spans="2:10" ht="17.149999999999999" customHeight="1">
      <c r="B79" s="76" t="s">
        <v>303</v>
      </c>
      <c r="C79" s="74" t="s">
        <v>276</v>
      </c>
      <c r="D79" s="74" t="str">
        <f t="shared" si="4"/>
        <v>연구부</v>
      </c>
      <c r="E79" s="74" t="s">
        <v>157</v>
      </c>
      <c r="F79" s="78">
        <v>1172222.2222222199</v>
      </c>
      <c r="G79" s="74">
        <v>5</v>
      </c>
      <c r="H79" s="78">
        <f t="shared" si="5"/>
        <v>100000</v>
      </c>
      <c r="I79" s="78">
        <f t="shared" si="6"/>
        <v>58611.111111111</v>
      </c>
      <c r="J79" s="135">
        <f t="shared" si="7"/>
        <v>1330833.3333333309</v>
      </c>
    </row>
    <row r="80" spans="2:10" ht="17.149999999999999" customHeight="1">
      <c r="B80" s="74" t="s">
        <v>304</v>
      </c>
      <c r="C80" s="74" t="s">
        <v>286</v>
      </c>
      <c r="D80" s="74" t="str">
        <f t="shared" si="4"/>
        <v>관리부</v>
      </c>
      <c r="E80" s="74" t="s">
        <v>159</v>
      </c>
      <c r="F80" s="78">
        <v>1155555.5555555599</v>
      </c>
      <c r="G80" s="74">
        <v>5</v>
      </c>
      <c r="H80" s="78">
        <f t="shared" si="5"/>
        <v>200000</v>
      </c>
      <c r="I80" s="78">
        <f t="shared" si="6"/>
        <v>57777.777777777992</v>
      </c>
      <c r="J80" s="135">
        <f t="shared" si="7"/>
        <v>1413333.3333333379</v>
      </c>
    </row>
    <row r="81" spans="2:10" ht="17.149999999999999" customHeight="1">
      <c r="B81" s="74" t="s">
        <v>305</v>
      </c>
      <c r="C81" s="74" t="s">
        <v>270</v>
      </c>
      <c r="D81" s="74" t="str">
        <f t="shared" si="4"/>
        <v>경리부</v>
      </c>
      <c r="E81" s="74" t="s">
        <v>156</v>
      </c>
      <c r="F81" s="78">
        <v>1138888.8888888899</v>
      </c>
      <c r="G81" s="74">
        <v>4</v>
      </c>
      <c r="H81" s="78">
        <f t="shared" si="5"/>
        <v>150000</v>
      </c>
      <c r="I81" s="78">
        <f t="shared" si="6"/>
        <v>45555.555555555598</v>
      </c>
      <c r="J81" s="135">
        <f t="shared" si="7"/>
        <v>1334444.4444444454</v>
      </c>
    </row>
    <row r="82" spans="2:10" ht="17.149999999999999" customHeight="1">
      <c r="B82" s="76" t="s">
        <v>306</v>
      </c>
      <c r="C82" s="74" t="s">
        <v>272</v>
      </c>
      <c r="D82" s="74" t="str">
        <f t="shared" si="4"/>
        <v>연구부</v>
      </c>
      <c r="E82" s="74" t="s">
        <v>156</v>
      </c>
      <c r="F82" s="78">
        <v>1122222.2222222199</v>
      </c>
      <c r="G82" s="74">
        <v>5</v>
      </c>
      <c r="H82" s="78">
        <f t="shared" si="5"/>
        <v>150000</v>
      </c>
      <c r="I82" s="78">
        <f t="shared" si="6"/>
        <v>56111.111111111</v>
      </c>
      <c r="J82" s="135">
        <f t="shared" si="7"/>
        <v>1328333.3333333309</v>
      </c>
    </row>
    <row r="83" spans="2:10" ht="17.149999999999999" customHeight="1">
      <c r="B83" s="74" t="s">
        <v>307</v>
      </c>
      <c r="C83" s="74" t="s">
        <v>274</v>
      </c>
      <c r="D83" s="74" t="str">
        <f t="shared" si="4"/>
        <v>관리부</v>
      </c>
      <c r="E83" s="74" t="s">
        <v>157</v>
      </c>
      <c r="F83" s="78">
        <v>1105555.5555555599</v>
      </c>
      <c r="G83" s="74">
        <v>7</v>
      </c>
      <c r="H83" s="78">
        <f t="shared" si="5"/>
        <v>100000</v>
      </c>
      <c r="I83" s="78">
        <f t="shared" si="6"/>
        <v>77388.888888889196</v>
      </c>
      <c r="J83" s="135">
        <f t="shared" si="7"/>
        <v>1282944.4444444492</v>
      </c>
    </row>
    <row r="84" spans="2:10" ht="17.149999999999999" customHeight="1">
      <c r="B84" s="74" t="s">
        <v>308</v>
      </c>
      <c r="C84" s="74" t="s">
        <v>228</v>
      </c>
      <c r="D84" s="74" t="str">
        <f t="shared" si="4"/>
        <v>경리부</v>
      </c>
      <c r="E84" s="74" t="s">
        <v>162</v>
      </c>
      <c r="F84" s="78">
        <v>1088888.8888888899</v>
      </c>
      <c r="G84" s="74">
        <v>2</v>
      </c>
      <c r="H84" s="78">
        <f t="shared" si="5"/>
        <v>200000</v>
      </c>
      <c r="I84" s="78">
        <f t="shared" si="6"/>
        <v>21777.777777777799</v>
      </c>
      <c r="J84" s="135">
        <f t="shared" si="7"/>
        <v>1310666.6666666677</v>
      </c>
    </row>
    <row r="85" spans="2:10" ht="17.149999999999999" customHeight="1">
      <c r="B85" s="76" t="s">
        <v>309</v>
      </c>
      <c r="C85" s="74" t="s">
        <v>270</v>
      </c>
      <c r="D85" s="74" t="str">
        <f t="shared" si="4"/>
        <v>연구부</v>
      </c>
      <c r="E85" s="74" t="s">
        <v>156</v>
      </c>
      <c r="F85" s="78">
        <v>1072222.2222222199</v>
      </c>
      <c r="G85" s="74">
        <v>3</v>
      </c>
      <c r="H85" s="78">
        <f t="shared" si="5"/>
        <v>150000</v>
      </c>
      <c r="I85" s="78">
        <f t="shared" si="6"/>
        <v>32166.666666666595</v>
      </c>
      <c r="J85" s="135">
        <f t="shared" si="7"/>
        <v>1254388.8888888864</v>
      </c>
    </row>
    <row r="86" spans="2:10" ht="17.149999999999999" customHeight="1">
      <c r="B86" s="74" t="s">
        <v>310</v>
      </c>
      <c r="C86" s="74" t="s">
        <v>272</v>
      </c>
      <c r="D86" s="74" t="str">
        <f t="shared" si="4"/>
        <v>관리부</v>
      </c>
      <c r="E86" s="74" t="s">
        <v>156</v>
      </c>
      <c r="F86" s="78">
        <v>1055555.5555555599</v>
      </c>
      <c r="G86" s="74">
        <v>1</v>
      </c>
      <c r="H86" s="78">
        <f t="shared" si="5"/>
        <v>150000</v>
      </c>
      <c r="I86" s="78">
        <f t="shared" si="6"/>
        <v>10555.5555555556</v>
      </c>
      <c r="J86" s="135">
        <f t="shared" si="7"/>
        <v>1216111.1111111154</v>
      </c>
    </row>
    <row r="87" spans="2:10" ht="17.149999999999999" customHeight="1">
      <c r="B87" s="74" t="s">
        <v>311</v>
      </c>
      <c r="C87" s="74" t="s">
        <v>274</v>
      </c>
      <c r="D87" s="74" t="str">
        <f t="shared" si="4"/>
        <v>경리부</v>
      </c>
      <c r="E87" s="74" t="s">
        <v>157</v>
      </c>
      <c r="F87" s="78">
        <v>1038888.88888889</v>
      </c>
      <c r="G87" s="74">
        <v>6</v>
      </c>
      <c r="H87" s="78">
        <f t="shared" si="5"/>
        <v>100000</v>
      </c>
      <c r="I87" s="78">
        <f t="shared" si="6"/>
        <v>62333.333333333409</v>
      </c>
      <c r="J87" s="135">
        <f t="shared" si="7"/>
        <v>1201222.2222222234</v>
      </c>
    </row>
    <row r="88" spans="2:10" ht="17.149999999999999" customHeight="1">
      <c r="B88" s="76" t="s">
        <v>312</v>
      </c>
      <c r="C88" s="74" t="s">
        <v>276</v>
      </c>
      <c r="D88" s="74" t="str">
        <f t="shared" si="4"/>
        <v>연구부</v>
      </c>
      <c r="E88" s="74" t="s">
        <v>157</v>
      </c>
      <c r="F88" s="78">
        <v>1022222.22222222</v>
      </c>
      <c r="G88" s="74">
        <v>5</v>
      </c>
      <c r="H88" s="78">
        <f t="shared" si="5"/>
        <v>100000</v>
      </c>
      <c r="I88" s="78">
        <f t="shared" si="6"/>
        <v>51111.111111111</v>
      </c>
      <c r="J88" s="135">
        <f t="shared" si="7"/>
        <v>1173333.3333333309</v>
      </c>
    </row>
    <row r="89" spans="2:10" ht="17.149999999999999" customHeight="1">
      <c r="B89" s="74" t="s">
        <v>313</v>
      </c>
      <c r="C89" s="74" t="s">
        <v>286</v>
      </c>
      <c r="D89" s="74" t="str">
        <f t="shared" si="4"/>
        <v>관리부</v>
      </c>
      <c r="E89" s="74" t="s">
        <v>159</v>
      </c>
      <c r="F89" s="78">
        <v>1005555.55555556</v>
      </c>
      <c r="G89" s="74">
        <v>5</v>
      </c>
      <c r="H89" s="78">
        <f t="shared" si="5"/>
        <v>200000</v>
      </c>
      <c r="I89" s="78">
        <f t="shared" si="6"/>
        <v>50277.777777778007</v>
      </c>
      <c r="J89" s="135">
        <f t="shared" si="7"/>
        <v>1255833.3333333381</v>
      </c>
    </row>
    <row r="90" spans="2:10" ht="17.149999999999999" customHeight="1">
      <c r="B90" s="74" t="s">
        <v>314</v>
      </c>
      <c r="C90" s="74" t="s">
        <v>270</v>
      </c>
      <c r="D90" s="74" t="str">
        <f t="shared" si="4"/>
        <v>경리부</v>
      </c>
      <c r="E90" s="74" t="s">
        <v>156</v>
      </c>
      <c r="F90" s="78">
        <v>988888.88888888899</v>
      </c>
      <c r="G90" s="74">
        <v>4</v>
      </c>
      <c r="H90" s="78">
        <f t="shared" si="5"/>
        <v>150000</v>
      </c>
      <c r="I90" s="78">
        <f t="shared" si="6"/>
        <v>39555.555555555562</v>
      </c>
      <c r="J90" s="135">
        <f t="shared" si="7"/>
        <v>1178444.4444444445</v>
      </c>
    </row>
    <row r="91" spans="2:10" ht="17.149999999999999" customHeight="1">
      <c r="B91" s="76" t="s">
        <v>315</v>
      </c>
      <c r="C91" s="74" t="s">
        <v>272</v>
      </c>
      <c r="D91" s="74" t="str">
        <f t="shared" si="4"/>
        <v>연구부</v>
      </c>
      <c r="E91" s="74" t="s">
        <v>156</v>
      </c>
      <c r="F91" s="78">
        <v>972222.22222222202</v>
      </c>
      <c r="G91" s="74">
        <v>5</v>
      </c>
      <c r="H91" s="78">
        <f t="shared" si="5"/>
        <v>150000</v>
      </c>
      <c r="I91" s="78">
        <f t="shared" si="6"/>
        <v>48611.111111111102</v>
      </c>
      <c r="J91" s="135">
        <f t="shared" si="7"/>
        <v>1170833.333333333</v>
      </c>
    </row>
    <row r="92" spans="2:10" ht="17.149999999999999" customHeight="1">
      <c r="B92" s="74" t="s">
        <v>316</v>
      </c>
      <c r="C92" s="74" t="s">
        <v>274</v>
      </c>
      <c r="D92" s="74" t="str">
        <f t="shared" si="4"/>
        <v>관리부</v>
      </c>
      <c r="E92" s="74" t="s">
        <v>157</v>
      </c>
      <c r="F92" s="78">
        <v>955555.55555555597</v>
      </c>
      <c r="G92" s="74">
        <v>7</v>
      </c>
      <c r="H92" s="78">
        <f t="shared" si="5"/>
        <v>100000</v>
      </c>
      <c r="I92" s="78">
        <f t="shared" si="6"/>
        <v>66888.88888888892</v>
      </c>
      <c r="J92" s="135">
        <f t="shared" si="7"/>
        <v>1122444.444444445</v>
      </c>
    </row>
    <row r="93" spans="2:10" ht="17.149999999999999" customHeight="1">
      <c r="B93" s="74" t="s">
        <v>317</v>
      </c>
      <c r="C93" s="74" t="s">
        <v>286</v>
      </c>
      <c r="D93" s="74" t="str">
        <f t="shared" si="4"/>
        <v>경리부</v>
      </c>
      <c r="E93" s="74" t="s">
        <v>159</v>
      </c>
      <c r="F93" s="78">
        <v>938888.88888888899</v>
      </c>
      <c r="G93" s="74">
        <v>2</v>
      </c>
      <c r="H93" s="78">
        <f t="shared" si="5"/>
        <v>200000</v>
      </c>
      <c r="I93" s="78">
        <f t="shared" si="6"/>
        <v>18777.777777777781</v>
      </c>
      <c r="J93" s="135">
        <f t="shared" si="7"/>
        <v>1157666.6666666667</v>
      </c>
    </row>
    <row r="94" spans="2:10" ht="17.149999999999999" customHeight="1">
      <c r="B94" s="76" t="s">
        <v>318</v>
      </c>
      <c r="C94" s="74" t="s">
        <v>270</v>
      </c>
      <c r="D94" s="74" t="str">
        <f t="shared" si="4"/>
        <v>연구부</v>
      </c>
      <c r="E94" s="74" t="s">
        <v>156</v>
      </c>
      <c r="F94" s="78">
        <v>922222.22222222202</v>
      </c>
      <c r="G94" s="74">
        <v>3</v>
      </c>
      <c r="H94" s="78">
        <f t="shared" si="5"/>
        <v>150000</v>
      </c>
      <c r="I94" s="78">
        <f t="shared" si="6"/>
        <v>27666.666666666661</v>
      </c>
      <c r="J94" s="135">
        <f t="shared" si="7"/>
        <v>1099888.8888888885</v>
      </c>
    </row>
    <row r="95" spans="2:10" ht="17.149999999999999" customHeight="1">
      <c r="B95" s="74" t="s">
        <v>319</v>
      </c>
      <c r="C95" s="74" t="s">
        <v>272</v>
      </c>
      <c r="D95" s="74" t="str">
        <f t="shared" si="4"/>
        <v>관리부</v>
      </c>
      <c r="E95" s="74" t="s">
        <v>156</v>
      </c>
      <c r="F95" s="78">
        <v>905555.55555555597</v>
      </c>
      <c r="G95" s="74">
        <v>1</v>
      </c>
      <c r="H95" s="78">
        <f t="shared" si="5"/>
        <v>150000</v>
      </c>
      <c r="I95" s="78">
        <f t="shared" si="6"/>
        <v>9055.5555555555602</v>
      </c>
      <c r="J95" s="135">
        <f t="shared" si="7"/>
        <v>1064611.1111111115</v>
      </c>
    </row>
    <row r="96" spans="2:10" ht="17.149999999999999" customHeight="1">
      <c r="B96" s="74" t="s">
        <v>320</v>
      </c>
      <c r="C96" s="74" t="s">
        <v>274</v>
      </c>
      <c r="D96" s="74" t="str">
        <f t="shared" si="4"/>
        <v>경리부</v>
      </c>
      <c r="E96" s="74" t="s">
        <v>157</v>
      </c>
      <c r="F96" s="78">
        <v>888888.88888888899</v>
      </c>
      <c r="G96" s="74">
        <v>6</v>
      </c>
      <c r="H96" s="78">
        <f t="shared" si="5"/>
        <v>100000</v>
      </c>
      <c r="I96" s="78">
        <f t="shared" si="6"/>
        <v>53333.333333333343</v>
      </c>
      <c r="J96" s="135">
        <f t="shared" si="7"/>
        <v>1042222.2222222224</v>
      </c>
    </row>
    <row r="97" spans="2:10" ht="17.149999999999999" customHeight="1">
      <c r="B97" s="76" t="s">
        <v>321</v>
      </c>
      <c r="C97" s="74" t="s">
        <v>276</v>
      </c>
      <c r="D97" s="74" t="str">
        <f t="shared" si="4"/>
        <v>연구부</v>
      </c>
      <c r="E97" s="74" t="s">
        <v>157</v>
      </c>
      <c r="F97" s="78">
        <v>872222.22222222202</v>
      </c>
      <c r="G97" s="74">
        <v>5</v>
      </c>
      <c r="H97" s="78">
        <f t="shared" si="5"/>
        <v>100000</v>
      </c>
      <c r="I97" s="78">
        <f t="shared" si="6"/>
        <v>43611.111111111102</v>
      </c>
      <c r="J97" s="135">
        <f t="shared" si="7"/>
        <v>1015833.3333333331</v>
      </c>
    </row>
    <row r="98" spans="2:10" ht="17.149999999999999" customHeight="1">
      <c r="B98" s="74" t="s">
        <v>322</v>
      </c>
      <c r="C98" s="74" t="s">
        <v>228</v>
      </c>
      <c r="D98" s="74" t="str">
        <f t="shared" si="4"/>
        <v>관리부</v>
      </c>
      <c r="E98" s="74" t="s">
        <v>162</v>
      </c>
      <c r="F98" s="78">
        <v>855555.55555555597</v>
      </c>
      <c r="G98" s="74">
        <v>5</v>
      </c>
      <c r="H98" s="78">
        <f t="shared" si="5"/>
        <v>200000</v>
      </c>
      <c r="I98" s="78">
        <f t="shared" si="6"/>
        <v>42777.777777777803</v>
      </c>
      <c r="J98" s="135">
        <f t="shared" si="7"/>
        <v>1098333.3333333337</v>
      </c>
    </row>
    <row r="99" spans="2:10" ht="17.149999999999999" customHeight="1">
      <c r="B99" s="74" t="s">
        <v>323</v>
      </c>
      <c r="C99" s="74" t="s">
        <v>230</v>
      </c>
      <c r="D99" s="74" t="str">
        <f t="shared" si="4"/>
        <v>경리부</v>
      </c>
      <c r="E99" s="74" t="s">
        <v>161</v>
      </c>
      <c r="F99" s="78">
        <v>838888.88888888899</v>
      </c>
      <c r="G99" s="74">
        <v>4</v>
      </c>
      <c r="H99" s="78">
        <f t="shared" si="5"/>
        <v>150000</v>
      </c>
      <c r="I99" s="78">
        <f t="shared" si="6"/>
        <v>33555.555555555562</v>
      </c>
      <c r="J99" s="135">
        <f t="shared" si="7"/>
        <v>1022444.4444444445</v>
      </c>
    </row>
    <row r="100" spans="2:10" ht="17.149999999999999" customHeight="1">
      <c r="B100" s="76" t="s">
        <v>324</v>
      </c>
      <c r="C100" s="74" t="s">
        <v>232</v>
      </c>
      <c r="D100" s="74" t="str">
        <f t="shared" si="4"/>
        <v>연구부</v>
      </c>
      <c r="E100" s="74" t="s">
        <v>161</v>
      </c>
      <c r="F100" s="78">
        <v>822222.22222222202</v>
      </c>
      <c r="G100" s="74">
        <v>6</v>
      </c>
      <c r="H100" s="78">
        <f t="shared" si="5"/>
        <v>150000</v>
      </c>
      <c r="I100" s="78">
        <f t="shared" si="6"/>
        <v>49333.333333333321</v>
      </c>
      <c r="J100" s="135">
        <f t="shared" si="7"/>
        <v>1021555.5555555554</v>
      </c>
    </row>
    <row r="101" spans="2:10" ht="17.149999999999999" customHeight="1">
      <c r="B101" s="74" t="s">
        <v>325</v>
      </c>
      <c r="C101" s="74" t="s">
        <v>234</v>
      </c>
      <c r="D101" s="74" t="str">
        <f t="shared" si="4"/>
        <v>관리부</v>
      </c>
      <c r="E101" s="74" t="s">
        <v>235</v>
      </c>
      <c r="F101" s="78">
        <v>805555.55555555597</v>
      </c>
      <c r="G101" s="74">
        <v>5</v>
      </c>
      <c r="H101" s="78">
        <f t="shared" si="5"/>
        <v>100000</v>
      </c>
      <c r="I101" s="78">
        <f t="shared" si="6"/>
        <v>40277.777777777803</v>
      </c>
      <c r="J101" s="135">
        <f t="shared" si="7"/>
        <v>945833.33333333372</v>
      </c>
    </row>
    <row r="102" spans="2:10" ht="17.149999999999999" customHeight="1">
      <c r="B102" s="74" t="s">
        <v>326</v>
      </c>
      <c r="C102" s="74" t="s">
        <v>228</v>
      </c>
      <c r="D102" s="74" t="str">
        <f t="shared" si="4"/>
        <v>경리부</v>
      </c>
      <c r="E102" s="74" t="s">
        <v>162</v>
      </c>
      <c r="F102" s="78">
        <v>788888.88888888899</v>
      </c>
      <c r="G102" s="74">
        <v>5</v>
      </c>
      <c r="H102" s="78">
        <f t="shared" si="5"/>
        <v>200000</v>
      </c>
      <c r="I102" s="78">
        <f t="shared" si="6"/>
        <v>39444.444444444453</v>
      </c>
      <c r="J102" s="135">
        <f t="shared" si="7"/>
        <v>1028333.3333333335</v>
      </c>
    </row>
    <row r="103" spans="2:10" ht="17.149999999999999" customHeight="1">
      <c r="B103" s="76" t="s">
        <v>327</v>
      </c>
      <c r="C103" s="74" t="s">
        <v>230</v>
      </c>
      <c r="D103" s="74" t="str">
        <f t="shared" si="4"/>
        <v>연구부</v>
      </c>
      <c r="E103" s="74" t="s">
        <v>161</v>
      </c>
      <c r="F103" s="78">
        <v>772222.22222222202</v>
      </c>
      <c r="G103" s="74">
        <v>4</v>
      </c>
      <c r="H103" s="78">
        <f t="shared" si="5"/>
        <v>150000</v>
      </c>
      <c r="I103" s="78">
        <f t="shared" si="6"/>
        <v>30888.88888888888</v>
      </c>
      <c r="J103" s="135">
        <f t="shared" si="7"/>
        <v>953111.11111111089</v>
      </c>
    </row>
    <row r="104" spans="2:10" ht="17.149999999999999" customHeight="1">
      <c r="B104" s="74" t="s">
        <v>328</v>
      </c>
      <c r="C104" s="74" t="s">
        <v>232</v>
      </c>
      <c r="D104" s="74" t="str">
        <f t="shared" si="4"/>
        <v>관리부</v>
      </c>
      <c r="E104" s="74" t="s">
        <v>161</v>
      </c>
      <c r="F104" s="78">
        <v>755555.55555555597</v>
      </c>
      <c r="G104" s="74">
        <v>5</v>
      </c>
      <c r="H104" s="78">
        <f t="shared" si="5"/>
        <v>150000</v>
      </c>
      <c r="I104" s="78">
        <f t="shared" si="6"/>
        <v>37777.777777777803</v>
      </c>
      <c r="J104" s="135">
        <f t="shared" si="7"/>
        <v>943333.33333333372</v>
      </c>
    </row>
    <row r="105" spans="2:10" ht="17.149999999999999" customHeight="1">
      <c r="B105" s="74" t="s">
        <v>329</v>
      </c>
      <c r="C105" s="74" t="s">
        <v>234</v>
      </c>
      <c r="D105" s="74" t="str">
        <f t="shared" si="4"/>
        <v>경리부</v>
      </c>
      <c r="E105" s="74" t="s">
        <v>235</v>
      </c>
      <c r="F105" s="78">
        <v>738888.88888888899</v>
      </c>
      <c r="G105" s="74">
        <v>7</v>
      </c>
      <c r="H105" s="78">
        <f t="shared" si="5"/>
        <v>100000</v>
      </c>
      <c r="I105" s="78">
        <f t="shared" si="6"/>
        <v>51722.222222222234</v>
      </c>
      <c r="J105" s="135">
        <f t="shared" si="7"/>
        <v>890611.11111111124</v>
      </c>
    </row>
    <row r="106" spans="2:10" ht="17.149999999999999" customHeight="1">
      <c r="B106" s="76" t="s">
        <v>330</v>
      </c>
      <c r="C106" s="74" t="s">
        <v>237</v>
      </c>
      <c r="D106" s="74" t="str">
        <f t="shared" si="4"/>
        <v>연구부</v>
      </c>
      <c r="E106" s="74" t="s">
        <v>235</v>
      </c>
      <c r="F106" s="78">
        <v>722222.22222222202</v>
      </c>
      <c r="G106" s="74">
        <v>2</v>
      </c>
      <c r="H106" s="78">
        <f t="shared" si="5"/>
        <v>100000</v>
      </c>
      <c r="I106" s="78">
        <f t="shared" si="6"/>
        <v>14444.44444444444</v>
      </c>
      <c r="J106" s="135">
        <f t="shared" si="7"/>
        <v>836666.66666666651</v>
      </c>
    </row>
    <row r="107" spans="2:10" ht="17.149999999999999" customHeight="1">
      <c r="B107" s="74" t="s">
        <v>331</v>
      </c>
      <c r="C107" s="74" t="s">
        <v>228</v>
      </c>
      <c r="D107" s="74" t="str">
        <f t="shared" si="4"/>
        <v>관리부</v>
      </c>
      <c r="E107" s="74" t="s">
        <v>162</v>
      </c>
      <c r="F107" s="78">
        <v>705555.55555555597</v>
      </c>
      <c r="G107" s="74">
        <v>3</v>
      </c>
      <c r="H107" s="78">
        <f t="shared" si="5"/>
        <v>200000</v>
      </c>
      <c r="I107" s="78">
        <f t="shared" si="6"/>
        <v>21166.666666666679</v>
      </c>
      <c r="J107" s="135">
        <f t="shared" si="7"/>
        <v>926722.2222222226</v>
      </c>
    </row>
    <row r="108" spans="2:10" ht="17.149999999999999" customHeight="1">
      <c r="B108" s="74" t="s">
        <v>332</v>
      </c>
      <c r="C108" s="74" t="s">
        <v>230</v>
      </c>
      <c r="D108" s="74" t="str">
        <f t="shared" si="4"/>
        <v>경리부</v>
      </c>
      <c r="E108" s="74" t="s">
        <v>161</v>
      </c>
      <c r="F108" s="78">
        <v>688888.88888888899</v>
      </c>
      <c r="G108" s="74">
        <v>1</v>
      </c>
      <c r="H108" s="78">
        <f t="shared" si="5"/>
        <v>150000</v>
      </c>
      <c r="I108" s="78">
        <f t="shared" si="6"/>
        <v>6888.8888888888905</v>
      </c>
      <c r="J108" s="135">
        <f t="shared" si="7"/>
        <v>845777.77777777787</v>
      </c>
    </row>
    <row r="109" spans="2:10" ht="17.149999999999999" customHeight="1">
      <c r="B109" s="76" t="s">
        <v>333</v>
      </c>
      <c r="C109" s="74" t="s">
        <v>232</v>
      </c>
      <c r="D109" s="74" t="str">
        <f t="shared" si="4"/>
        <v>연구부</v>
      </c>
      <c r="E109" s="74" t="s">
        <v>161</v>
      </c>
      <c r="F109" s="78">
        <v>672222.22222222202</v>
      </c>
      <c r="G109" s="74">
        <v>6</v>
      </c>
      <c r="H109" s="78">
        <f t="shared" si="5"/>
        <v>150000</v>
      </c>
      <c r="I109" s="78">
        <f t="shared" si="6"/>
        <v>40333.333333333321</v>
      </c>
      <c r="J109" s="135">
        <f t="shared" si="7"/>
        <v>862555.55555555539</v>
      </c>
    </row>
    <row r="110" spans="2:10" ht="17.149999999999999" customHeight="1">
      <c r="B110" s="74" t="s">
        <v>334</v>
      </c>
      <c r="C110" s="74" t="s">
        <v>234</v>
      </c>
      <c r="D110" s="74" t="str">
        <f t="shared" si="4"/>
        <v>관리부</v>
      </c>
      <c r="E110" s="74" t="s">
        <v>235</v>
      </c>
      <c r="F110" s="78">
        <v>655555.55555555597</v>
      </c>
      <c r="G110" s="74">
        <v>5</v>
      </c>
      <c r="H110" s="78">
        <f t="shared" si="5"/>
        <v>100000</v>
      </c>
      <c r="I110" s="78">
        <f t="shared" si="6"/>
        <v>32777.777777777796</v>
      </c>
      <c r="J110" s="135">
        <f t="shared" si="7"/>
        <v>788333.33333333372</v>
      </c>
    </row>
    <row r="111" spans="2:10" ht="17.149999999999999" customHeight="1">
      <c r="B111" s="74" t="s">
        <v>335</v>
      </c>
      <c r="C111" s="74" t="s">
        <v>228</v>
      </c>
      <c r="D111" s="74" t="str">
        <f t="shared" si="4"/>
        <v>경리부</v>
      </c>
      <c r="E111" s="74" t="s">
        <v>162</v>
      </c>
      <c r="F111" s="78">
        <v>638888.88888888899</v>
      </c>
      <c r="G111" s="74">
        <v>5</v>
      </c>
      <c r="H111" s="78">
        <f t="shared" si="5"/>
        <v>200000</v>
      </c>
      <c r="I111" s="78">
        <f t="shared" si="6"/>
        <v>31944.444444444449</v>
      </c>
      <c r="J111" s="135">
        <f t="shared" si="7"/>
        <v>870833.33333333349</v>
      </c>
    </row>
    <row r="112" spans="2:10" ht="17.149999999999999" customHeight="1">
      <c r="B112" s="76" t="s">
        <v>336</v>
      </c>
      <c r="C112" s="74" t="s">
        <v>230</v>
      </c>
      <c r="D112" s="74" t="str">
        <f t="shared" si="4"/>
        <v>연구부</v>
      </c>
      <c r="E112" s="74" t="s">
        <v>161</v>
      </c>
      <c r="F112" s="78">
        <v>622222.22222222202</v>
      </c>
      <c r="G112" s="74">
        <v>4</v>
      </c>
      <c r="H112" s="78">
        <f t="shared" si="5"/>
        <v>150000</v>
      </c>
      <c r="I112" s="78">
        <f t="shared" si="6"/>
        <v>24888.88888888888</v>
      </c>
      <c r="J112" s="135">
        <f t="shared" si="7"/>
        <v>797111.11111111089</v>
      </c>
    </row>
    <row r="113" ht="17.149999999999999" customHeight="1"/>
    <row r="114" ht="17.149999999999999" customHeight="1"/>
    <row r="115" ht="17.149999999999999" customHeight="1"/>
    <row r="116" ht="17.149999999999999" customHeight="1"/>
    <row r="117" ht="17.149999999999999" customHeight="1"/>
  </sheetData>
  <mergeCells count="1">
    <mergeCell ref="B1:J1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horizontalDpi="1200" verticalDpi="12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autoPageBreaks="0"/>
  </sheetPr>
  <dimension ref="B1:I33"/>
  <sheetViews>
    <sheetView zoomScaleNormal="100" workbookViewId="0">
      <selection activeCell="G24" sqref="G24"/>
    </sheetView>
  </sheetViews>
  <sheetFormatPr defaultRowHeight="14"/>
  <cols>
    <col min="1" max="1" width="2" style="136" customWidth="1"/>
    <col min="2" max="2" width="11" style="136" customWidth="1"/>
    <col min="3" max="3" width="21.33203125" style="136" customWidth="1"/>
    <col min="4" max="4" width="7.1640625" style="136" customWidth="1"/>
    <col min="5" max="5" width="5.33203125" style="136" customWidth="1"/>
    <col min="6" max="6" width="10.08203125" style="136" bestFit="1" customWidth="1"/>
    <col min="7" max="7" width="11.33203125" style="136" bestFit="1" customWidth="1"/>
    <col min="8" max="8" width="9" style="136"/>
    <col min="9" max="9" width="6.83203125" style="136" customWidth="1"/>
    <col min="10" max="256" width="9" style="136"/>
    <col min="257" max="257" width="2" style="136" customWidth="1"/>
    <col min="258" max="258" width="11" style="136" customWidth="1"/>
    <col min="259" max="259" width="21.33203125" style="136" customWidth="1"/>
    <col min="260" max="260" width="7.1640625" style="136" customWidth="1"/>
    <col min="261" max="261" width="5.33203125" style="136" customWidth="1"/>
    <col min="262" max="262" width="10.08203125" style="136" bestFit="1" customWidth="1"/>
    <col min="263" max="263" width="11.33203125" style="136" bestFit="1" customWidth="1"/>
    <col min="264" max="264" width="9" style="136"/>
    <col min="265" max="265" width="6.83203125" style="136" customWidth="1"/>
    <col min="266" max="512" width="9" style="136"/>
    <col min="513" max="513" width="2" style="136" customWidth="1"/>
    <col min="514" max="514" width="11" style="136" customWidth="1"/>
    <col min="515" max="515" width="21.33203125" style="136" customWidth="1"/>
    <col min="516" max="516" width="7.1640625" style="136" customWidth="1"/>
    <col min="517" max="517" width="5.33203125" style="136" customWidth="1"/>
    <col min="518" max="518" width="10.08203125" style="136" bestFit="1" customWidth="1"/>
    <col min="519" max="519" width="11.33203125" style="136" bestFit="1" customWidth="1"/>
    <col min="520" max="520" width="9" style="136"/>
    <col min="521" max="521" width="6.83203125" style="136" customWidth="1"/>
    <col min="522" max="768" width="9" style="136"/>
    <col min="769" max="769" width="2" style="136" customWidth="1"/>
    <col min="770" max="770" width="11" style="136" customWidth="1"/>
    <col min="771" max="771" width="21.33203125" style="136" customWidth="1"/>
    <col min="772" max="772" width="7.1640625" style="136" customWidth="1"/>
    <col min="773" max="773" width="5.33203125" style="136" customWidth="1"/>
    <col min="774" max="774" width="10.08203125" style="136" bestFit="1" customWidth="1"/>
    <col min="775" max="775" width="11.33203125" style="136" bestFit="1" customWidth="1"/>
    <col min="776" max="776" width="9" style="136"/>
    <col min="777" max="777" width="6.83203125" style="136" customWidth="1"/>
    <col min="778" max="1024" width="9" style="136"/>
    <col min="1025" max="1025" width="2" style="136" customWidth="1"/>
    <col min="1026" max="1026" width="11" style="136" customWidth="1"/>
    <col min="1027" max="1027" width="21.33203125" style="136" customWidth="1"/>
    <col min="1028" max="1028" width="7.1640625" style="136" customWidth="1"/>
    <col min="1029" max="1029" width="5.33203125" style="136" customWidth="1"/>
    <col min="1030" max="1030" width="10.08203125" style="136" bestFit="1" customWidth="1"/>
    <col min="1031" max="1031" width="11.33203125" style="136" bestFit="1" customWidth="1"/>
    <col min="1032" max="1032" width="9" style="136"/>
    <col min="1033" max="1033" width="6.83203125" style="136" customWidth="1"/>
    <col min="1034" max="1280" width="9" style="136"/>
    <col min="1281" max="1281" width="2" style="136" customWidth="1"/>
    <col min="1282" max="1282" width="11" style="136" customWidth="1"/>
    <col min="1283" max="1283" width="21.33203125" style="136" customWidth="1"/>
    <col min="1284" max="1284" width="7.1640625" style="136" customWidth="1"/>
    <col min="1285" max="1285" width="5.33203125" style="136" customWidth="1"/>
    <col min="1286" max="1286" width="10.08203125" style="136" bestFit="1" customWidth="1"/>
    <col min="1287" max="1287" width="11.33203125" style="136" bestFit="1" customWidth="1"/>
    <col min="1288" max="1288" width="9" style="136"/>
    <col min="1289" max="1289" width="6.83203125" style="136" customWidth="1"/>
    <col min="1290" max="1536" width="9" style="136"/>
    <col min="1537" max="1537" width="2" style="136" customWidth="1"/>
    <col min="1538" max="1538" width="11" style="136" customWidth="1"/>
    <col min="1539" max="1539" width="21.33203125" style="136" customWidth="1"/>
    <col min="1540" max="1540" width="7.1640625" style="136" customWidth="1"/>
    <col min="1541" max="1541" width="5.33203125" style="136" customWidth="1"/>
    <col min="1542" max="1542" width="10.08203125" style="136" bestFit="1" customWidth="1"/>
    <col min="1543" max="1543" width="11.33203125" style="136" bestFit="1" customWidth="1"/>
    <col min="1544" max="1544" width="9" style="136"/>
    <col min="1545" max="1545" width="6.83203125" style="136" customWidth="1"/>
    <col min="1546" max="1792" width="9" style="136"/>
    <col min="1793" max="1793" width="2" style="136" customWidth="1"/>
    <col min="1794" max="1794" width="11" style="136" customWidth="1"/>
    <col min="1795" max="1795" width="21.33203125" style="136" customWidth="1"/>
    <col min="1796" max="1796" width="7.1640625" style="136" customWidth="1"/>
    <col min="1797" max="1797" width="5.33203125" style="136" customWidth="1"/>
    <col min="1798" max="1798" width="10.08203125" style="136" bestFit="1" customWidth="1"/>
    <col min="1799" max="1799" width="11.33203125" style="136" bestFit="1" customWidth="1"/>
    <col min="1800" max="1800" width="9" style="136"/>
    <col min="1801" max="1801" width="6.83203125" style="136" customWidth="1"/>
    <col min="1802" max="2048" width="9" style="136"/>
    <col min="2049" max="2049" width="2" style="136" customWidth="1"/>
    <col min="2050" max="2050" width="11" style="136" customWidth="1"/>
    <col min="2051" max="2051" width="21.33203125" style="136" customWidth="1"/>
    <col min="2052" max="2052" width="7.1640625" style="136" customWidth="1"/>
    <col min="2053" max="2053" width="5.33203125" style="136" customWidth="1"/>
    <col min="2054" max="2054" width="10.08203125" style="136" bestFit="1" customWidth="1"/>
    <col min="2055" max="2055" width="11.33203125" style="136" bestFit="1" customWidth="1"/>
    <col min="2056" max="2056" width="9" style="136"/>
    <col min="2057" max="2057" width="6.83203125" style="136" customWidth="1"/>
    <col min="2058" max="2304" width="9" style="136"/>
    <col min="2305" max="2305" width="2" style="136" customWidth="1"/>
    <col min="2306" max="2306" width="11" style="136" customWidth="1"/>
    <col min="2307" max="2307" width="21.33203125" style="136" customWidth="1"/>
    <col min="2308" max="2308" width="7.1640625" style="136" customWidth="1"/>
    <col min="2309" max="2309" width="5.33203125" style="136" customWidth="1"/>
    <col min="2310" max="2310" width="10.08203125" style="136" bestFit="1" customWidth="1"/>
    <col min="2311" max="2311" width="11.33203125" style="136" bestFit="1" customWidth="1"/>
    <col min="2312" max="2312" width="9" style="136"/>
    <col min="2313" max="2313" width="6.83203125" style="136" customWidth="1"/>
    <col min="2314" max="2560" width="9" style="136"/>
    <col min="2561" max="2561" width="2" style="136" customWidth="1"/>
    <col min="2562" max="2562" width="11" style="136" customWidth="1"/>
    <col min="2563" max="2563" width="21.33203125" style="136" customWidth="1"/>
    <col min="2564" max="2564" width="7.1640625" style="136" customWidth="1"/>
    <col min="2565" max="2565" width="5.33203125" style="136" customWidth="1"/>
    <col min="2566" max="2566" width="10.08203125" style="136" bestFit="1" customWidth="1"/>
    <col min="2567" max="2567" width="11.33203125" style="136" bestFit="1" customWidth="1"/>
    <col min="2568" max="2568" width="9" style="136"/>
    <col min="2569" max="2569" width="6.83203125" style="136" customWidth="1"/>
    <col min="2570" max="2816" width="9" style="136"/>
    <col min="2817" max="2817" width="2" style="136" customWidth="1"/>
    <col min="2818" max="2818" width="11" style="136" customWidth="1"/>
    <col min="2819" max="2819" width="21.33203125" style="136" customWidth="1"/>
    <col min="2820" max="2820" width="7.1640625" style="136" customWidth="1"/>
    <col min="2821" max="2821" width="5.33203125" style="136" customWidth="1"/>
    <col min="2822" max="2822" width="10.08203125" style="136" bestFit="1" customWidth="1"/>
    <col min="2823" max="2823" width="11.33203125" style="136" bestFit="1" customWidth="1"/>
    <col min="2824" max="2824" width="9" style="136"/>
    <col min="2825" max="2825" width="6.83203125" style="136" customWidth="1"/>
    <col min="2826" max="3072" width="9" style="136"/>
    <col min="3073" max="3073" width="2" style="136" customWidth="1"/>
    <col min="3074" max="3074" width="11" style="136" customWidth="1"/>
    <col min="3075" max="3075" width="21.33203125" style="136" customWidth="1"/>
    <col min="3076" max="3076" width="7.1640625" style="136" customWidth="1"/>
    <col min="3077" max="3077" width="5.33203125" style="136" customWidth="1"/>
    <col min="3078" max="3078" width="10.08203125" style="136" bestFit="1" customWidth="1"/>
    <col min="3079" max="3079" width="11.33203125" style="136" bestFit="1" customWidth="1"/>
    <col min="3080" max="3080" width="9" style="136"/>
    <col min="3081" max="3081" width="6.83203125" style="136" customWidth="1"/>
    <col min="3082" max="3328" width="9" style="136"/>
    <col min="3329" max="3329" width="2" style="136" customWidth="1"/>
    <col min="3330" max="3330" width="11" style="136" customWidth="1"/>
    <col min="3331" max="3331" width="21.33203125" style="136" customWidth="1"/>
    <col min="3332" max="3332" width="7.1640625" style="136" customWidth="1"/>
    <col min="3333" max="3333" width="5.33203125" style="136" customWidth="1"/>
    <col min="3334" max="3334" width="10.08203125" style="136" bestFit="1" customWidth="1"/>
    <col min="3335" max="3335" width="11.33203125" style="136" bestFit="1" customWidth="1"/>
    <col min="3336" max="3336" width="9" style="136"/>
    <col min="3337" max="3337" width="6.83203125" style="136" customWidth="1"/>
    <col min="3338" max="3584" width="9" style="136"/>
    <col min="3585" max="3585" width="2" style="136" customWidth="1"/>
    <col min="3586" max="3586" width="11" style="136" customWidth="1"/>
    <col min="3587" max="3587" width="21.33203125" style="136" customWidth="1"/>
    <col min="3588" max="3588" width="7.1640625" style="136" customWidth="1"/>
    <col min="3589" max="3589" width="5.33203125" style="136" customWidth="1"/>
    <col min="3590" max="3590" width="10.08203125" style="136" bestFit="1" customWidth="1"/>
    <col min="3591" max="3591" width="11.33203125" style="136" bestFit="1" customWidth="1"/>
    <col min="3592" max="3592" width="9" style="136"/>
    <col min="3593" max="3593" width="6.83203125" style="136" customWidth="1"/>
    <col min="3594" max="3840" width="9" style="136"/>
    <col min="3841" max="3841" width="2" style="136" customWidth="1"/>
    <col min="3842" max="3842" width="11" style="136" customWidth="1"/>
    <col min="3843" max="3843" width="21.33203125" style="136" customWidth="1"/>
    <col min="3844" max="3844" width="7.1640625" style="136" customWidth="1"/>
    <col min="3845" max="3845" width="5.33203125" style="136" customWidth="1"/>
    <col min="3846" max="3846" width="10.08203125" style="136" bestFit="1" customWidth="1"/>
    <col min="3847" max="3847" width="11.33203125" style="136" bestFit="1" customWidth="1"/>
    <col min="3848" max="3848" width="9" style="136"/>
    <col min="3849" max="3849" width="6.83203125" style="136" customWidth="1"/>
    <col min="3850" max="4096" width="9" style="136"/>
    <col min="4097" max="4097" width="2" style="136" customWidth="1"/>
    <col min="4098" max="4098" width="11" style="136" customWidth="1"/>
    <col min="4099" max="4099" width="21.33203125" style="136" customWidth="1"/>
    <col min="4100" max="4100" width="7.1640625" style="136" customWidth="1"/>
    <col min="4101" max="4101" width="5.33203125" style="136" customWidth="1"/>
    <col min="4102" max="4102" width="10.08203125" style="136" bestFit="1" customWidth="1"/>
    <col min="4103" max="4103" width="11.33203125" style="136" bestFit="1" customWidth="1"/>
    <col min="4104" max="4104" width="9" style="136"/>
    <col min="4105" max="4105" width="6.83203125" style="136" customWidth="1"/>
    <col min="4106" max="4352" width="9" style="136"/>
    <col min="4353" max="4353" width="2" style="136" customWidth="1"/>
    <col min="4354" max="4354" width="11" style="136" customWidth="1"/>
    <col min="4355" max="4355" width="21.33203125" style="136" customWidth="1"/>
    <col min="4356" max="4356" width="7.1640625" style="136" customWidth="1"/>
    <col min="4357" max="4357" width="5.33203125" style="136" customWidth="1"/>
    <col min="4358" max="4358" width="10.08203125" style="136" bestFit="1" customWidth="1"/>
    <col min="4359" max="4359" width="11.33203125" style="136" bestFit="1" customWidth="1"/>
    <col min="4360" max="4360" width="9" style="136"/>
    <col min="4361" max="4361" width="6.83203125" style="136" customWidth="1"/>
    <col min="4362" max="4608" width="9" style="136"/>
    <col min="4609" max="4609" width="2" style="136" customWidth="1"/>
    <col min="4610" max="4610" width="11" style="136" customWidth="1"/>
    <col min="4611" max="4611" width="21.33203125" style="136" customWidth="1"/>
    <col min="4612" max="4612" width="7.1640625" style="136" customWidth="1"/>
    <col min="4613" max="4613" width="5.33203125" style="136" customWidth="1"/>
    <col min="4614" max="4614" width="10.08203125" style="136" bestFit="1" customWidth="1"/>
    <col min="4615" max="4615" width="11.33203125" style="136" bestFit="1" customWidth="1"/>
    <col min="4616" max="4616" width="9" style="136"/>
    <col min="4617" max="4617" width="6.83203125" style="136" customWidth="1"/>
    <col min="4618" max="4864" width="9" style="136"/>
    <col min="4865" max="4865" width="2" style="136" customWidth="1"/>
    <col min="4866" max="4866" width="11" style="136" customWidth="1"/>
    <col min="4867" max="4867" width="21.33203125" style="136" customWidth="1"/>
    <col min="4868" max="4868" width="7.1640625" style="136" customWidth="1"/>
    <col min="4869" max="4869" width="5.33203125" style="136" customWidth="1"/>
    <col min="4870" max="4870" width="10.08203125" style="136" bestFit="1" customWidth="1"/>
    <col min="4871" max="4871" width="11.33203125" style="136" bestFit="1" customWidth="1"/>
    <col min="4872" max="4872" width="9" style="136"/>
    <col min="4873" max="4873" width="6.83203125" style="136" customWidth="1"/>
    <col min="4874" max="5120" width="9" style="136"/>
    <col min="5121" max="5121" width="2" style="136" customWidth="1"/>
    <col min="5122" max="5122" width="11" style="136" customWidth="1"/>
    <col min="5123" max="5123" width="21.33203125" style="136" customWidth="1"/>
    <col min="5124" max="5124" width="7.1640625" style="136" customWidth="1"/>
    <col min="5125" max="5125" width="5.33203125" style="136" customWidth="1"/>
    <col min="5126" max="5126" width="10.08203125" style="136" bestFit="1" customWidth="1"/>
    <col min="5127" max="5127" width="11.33203125" style="136" bestFit="1" customWidth="1"/>
    <col min="5128" max="5128" width="9" style="136"/>
    <col min="5129" max="5129" width="6.83203125" style="136" customWidth="1"/>
    <col min="5130" max="5376" width="9" style="136"/>
    <col min="5377" max="5377" width="2" style="136" customWidth="1"/>
    <col min="5378" max="5378" width="11" style="136" customWidth="1"/>
    <col min="5379" max="5379" width="21.33203125" style="136" customWidth="1"/>
    <col min="5380" max="5380" width="7.1640625" style="136" customWidth="1"/>
    <col min="5381" max="5381" width="5.33203125" style="136" customWidth="1"/>
    <col min="5382" max="5382" width="10.08203125" style="136" bestFit="1" customWidth="1"/>
    <col min="5383" max="5383" width="11.33203125" style="136" bestFit="1" customWidth="1"/>
    <col min="5384" max="5384" width="9" style="136"/>
    <col min="5385" max="5385" width="6.83203125" style="136" customWidth="1"/>
    <col min="5386" max="5632" width="9" style="136"/>
    <col min="5633" max="5633" width="2" style="136" customWidth="1"/>
    <col min="5634" max="5634" width="11" style="136" customWidth="1"/>
    <col min="5635" max="5635" width="21.33203125" style="136" customWidth="1"/>
    <col min="5636" max="5636" width="7.1640625" style="136" customWidth="1"/>
    <col min="5637" max="5637" width="5.33203125" style="136" customWidth="1"/>
    <col min="5638" max="5638" width="10.08203125" style="136" bestFit="1" customWidth="1"/>
    <col min="5639" max="5639" width="11.33203125" style="136" bestFit="1" customWidth="1"/>
    <col min="5640" max="5640" width="9" style="136"/>
    <col min="5641" max="5641" width="6.83203125" style="136" customWidth="1"/>
    <col min="5642" max="5888" width="9" style="136"/>
    <col min="5889" max="5889" width="2" style="136" customWidth="1"/>
    <col min="5890" max="5890" width="11" style="136" customWidth="1"/>
    <col min="5891" max="5891" width="21.33203125" style="136" customWidth="1"/>
    <col min="5892" max="5892" width="7.1640625" style="136" customWidth="1"/>
    <col min="5893" max="5893" width="5.33203125" style="136" customWidth="1"/>
    <col min="5894" max="5894" width="10.08203125" style="136" bestFit="1" customWidth="1"/>
    <col min="5895" max="5895" width="11.33203125" style="136" bestFit="1" customWidth="1"/>
    <col min="5896" max="5896" width="9" style="136"/>
    <col min="5897" max="5897" width="6.83203125" style="136" customWidth="1"/>
    <col min="5898" max="6144" width="9" style="136"/>
    <col min="6145" max="6145" width="2" style="136" customWidth="1"/>
    <col min="6146" max="6146" width="11" style="136" customWidth="1"/>
    <col min="6147" max="6147" width="21.33203125" style="136" customWidth="1"/>
    <col min="6148" max="6148" width="7.1640625" style="136" customWidth="1"/>
    <col min="6149" max="6149" width="5.33203125" style="136" customWidth="1"/>
    <col min="6150" max="6150" width="10.08203125" style="136" bestFit="1" customWidth="1"/>
    <col min="6151" max="6151" width="11.33203125" style="136" bestFit="1" customWidth="1"/>
    <col min="6152" max="6152" width="9" style="136"/>
    <col min="6153" max="6153" width="6.83203125" style="136" customWidth="1"/>
    <col min="6154" max="6400" width="9" style="136"/>
    <col min="6401" max="6401" width="2" style="136" customWidth="1"/>
    <col min="6402" max="6402" width="11" style="136" customWidth="1"/>
    <col min="6403" max="6403" width="21.33203125" style="136" customWidth="1"/>
    <col min="6404" max="6404" width="7.1640625" style="136" customWidth="1"/>
    <col min="6405" max="6405" width="5.33203125" style="136" customWidth="1"/>
    <col min="6406" max="6406" width="10.08203125" style="136" bestFit="1" customWidth="1"/>
    <col min="6407" max="6407" width="11.33203125" style="136" bestFit="1" customWidth="1"/>
    <col min="6408" max="6408" width="9" style="136"/>
    <col min="6409" max="6409" width="6.83203125" style="136" customWidth="1"/>
    <col min="6410" max="6656" width="9" style="136"/>
    <col min="6657" max="6657" width="2" style="136" customWidth="1"/>
    <col min="6658" max="6658" width="11" style="136" customWidth="1"/>
    <col min="6659" max="6659" width="21.33203125" style="136" customWidth="1"/>
    <col min="6660" max="6660" width="7.1640625" style="136" customWidth="1"/>
    <col min="6661" max="6661" width="5.33203125" style="136" customWidth="1"/>
    <col min="6662" max="6662" width="10.08203125" style="136" bestFit="1" customWidth="1"/>
    <col min="6663" max="6663" width="11.33203125" style="136" bestFit="1" customWidth="1"/>
    <col min="6664" max="6664" width="9" style="136"/>
    <col min="6665" max="6665" width="6.83203125" style="136" customWidth="1"/>
    <col min="6666" max="6912" width="9" style="136"/>
    <col min="6913" max="6913" width="2" style="136" customWidth="1"/>
    <col min="6914" max="6914" width="11" style="136" customWidth="1"/>
    <col min="6915" max="6915" width="21.33203125" style="136" customWidth="1"/>
    <col min="6916" max="6916" width="7.1640625" style="136" customWidth="1"/>
    <col min="6917" max="6917" width="5.33203125" style="136" customWidth="1"/>
    <col min="6918" max="6918" width="10.08203125" style="136" bestFit="1" customWidth="1"/>
    <col min="6919" max="6919" width="11.33203125" style="136" bestFit="1" customWidth="1"/>
    <col min="6920" max="6920" width="9" style="136"/>
    <col min="6921" max="6921" width="6.83203125" style="136" customWidth="1"/>
    <col min="6922" max="7168" width="9" style="136"/>
    <col min="7169" max="7169" width="2" style="136" customWidth="1"/>
    <col min="7170" max="7170" width="11" style="136" customWidth="1"/>
    <col min="7171" max="7171" width="21.33203125" style="136" customWidth="1"/>
    <col min="7172" max="7172" width="7.1640625" style="136" customWidth="1"/>
    <col min="7173" max="7173" width="5.33203125" style="136" customWidth="1"/>
    <col min="7174" max="7174" width="10.08203125" style="136" bestFit="1" customWidth="1"/>
    <col min="7175" max="7175" width="11.33203125" style="136" bestFit="1" customWidth="1"/>
    <col min="7176" max="7176" width="9" style="136"/>
    <col min="7177" max="7177" width="6.83203125" style="136" customWidth="1"/>
    <col min="7178" max="7424" width="9" style="136"/>
    <col min="7425" max="7425" width="2" style="136" customWidth="1"/>
    <col min="7426" max="7426" width="11" style="136" customWidth="1"/>
    <col min="7427" max="7427" width="21.33203125" style="136" customWidth="1"/>
    <col min="7428" max="7428" width="7.1640625" style="136" customWidth="1"/>
    <col min="7429" max="7429" width="5.33203125" style="136" customWidth="1"/>
    <col min="7430" max="7430" width="10.08203125" style="136" bestFit="1" customWidth="1"/>
    <col min="7431" max="7431" width="11.33203125" style="136" bestFit="1" customWidth="1"/>
    <col min="7432" max="7432" width="9" style="136"/>
    <col min="7433" max="7433" width="6.83203125" style="136" customWidth="1"/>
    <col min="7434" max="7680" width="9" style="136"/>
    <col min="7681" max="7681" width="2" style="136" customWidth="1"/>
    <col min="7682" max="7682" width="11" style="136" customWidth="1"/>
    <col min="7683" max="7683" width="21.33203125" style="136" customWidth="1"/>
    <col min="7684" max="7684" width="7.1640625" style="136" customWidth="1"/>
    <col min="7685" max="7685" width="5.33203125" style="136" customWidth="1"/>
    <col min="7686" max="7686" width="10.08203125" style="136" bestFit="1" customWidth="1"/>
    <col min="7687" max="7687" width="11.33203125" style="136" bestFit="1" customWidth="1"/>
    <col min="7688" max="7688" width="9" style="136"/>
    <col min="7689" max="7689" width="6.83203125" style="136" customWidth="1"/>
    <col min="7690" max="7936" width="9" style="136"/>
    <col min="7937" max="7937" width="2" style="136" customWidth="1"/>
    <col min="7938" max="7938" width="11" style="136" customWidth="1"/>
    <col min="7939" max="7939" width="21.33203125" style="136" customWidth="1"/>
    <col min="7940" max="7940" width="7.1640625" style="136" customWidth="1"/>
    <col min="7941" max="7941" width="5.33203125" style="136" customWidth="1"/>
    <col min="7942" max="7942" width="10.08203125" style="136" bestFit="1" customWidth="1"/>
    <col min="7943" max="7943" width="11.33203125" style="136" bestFit="1" customWidth="1"/>
    <col min="7944" max="7944" width="9" style="136"/>
    <col min="7945" max="7945" width="6.83203125" style="136" customWidth="1"/>
    <col min="7946" max="8192" width="9" style="136"/>
    <col min="8193" max="8193" width="2" style="136" customWidth="1"/>
    <col min="8194" max="8194" width="11" style="136" customWidth="1"/>
    <col min="8195" max="8195" width="21.33203125" style="136" customWidth="1"/>
    <col min="8196" max="8196" width="7.1640625" style="136" customWidth="1"/>
    <col min="8197" max="8197" width="5.33203125" style="136" customWidth="1"/>
    <col min="8198" max="8198" width="10.08203125" style="136" bestFit="1" customWidth="1"/>
    <col min="8199" max="8199" width="11.33203125" style="136" bestFit="1" customWidth="1"/>
    <col min="8200" max="8200" width="9" style="136"/>
    <col min="8201" max="8201" width="6.83203125" style="136" customWidth="1"/>
    <col min="8202" max="8448" width="9" style="136"/>
    <col min="8449" max="8449" width="2" style="136" customWidth="1"/>
    <col min="8450" max="8450" width="11" style="136" customWidth="1"/>
    <col min="8451" max="8451" width="21.33203125" style="136" customWidth="1"/>
    <col min="8452" max="8452" width="7.1640625" style="136" customWidth="1"/>
    <col min="8453" max="8453" width="5.33203125" style="136" customWidth="1"/>
    <col min="8454" max="8454" width="10.08203125" style="136" bestFit="1" customWidth="1"/>
    <col min="8455" max="8455" width="11.33203125" style="136" bestFit="1" customWidth="1"/>
    <col min="8456" max="8456" width="9" style="136"/>
    <col min="8457" max="8457" width="6.83203125" style="136" customWidth="1"/>
    <col min="8458" max="8704" width="9" style="136"/>
    <col min="8705" max="8705" width="2" style="136" customWidth="1"/>
    <col min="8706" max="8706" width="11" style="136" customWidth="1"/>
    <col min="8707" max="8707" width="21.33203125" style="136" customWidth="1"/>
    <col min="8708" max="8708" width="7.1640625" style="136" customWidth="1"/>
    <col min="8709" max="8709" width="5.33203125" style="136" customWidth="1"/>
    <col min="8710" max="8710" width="10.08203125" style="136" bestFit="1" customWidth="1"/>
    <col min="8711" max="8711" width="11.33203125" style="136" bestFit="1" customWidth="1"/>
    <col min="8712" max="8712" width="9" style="136"/>
    <col min="8713" max="8713" width="6.83203125" style="136" customWidth="1"/>
    <col min="8714" max="8960" width="9" style="136"/>
    <col min="8961" max="8961" width="2" style="136" customWidth="1"/>
    <col min="8962" max="8962" width="11" style="136" customWidth="1"/>
    <col min="8963" max="8963" width="21.33203125" style="136" customWidth="1"/>
    <col min="8964" max="8964" width="7.1640625" style="136" customWidth="1"/>
    <col min="8965" max="8965" width="5.33203125" style="136" customWidth="1"/>
    <col min="8966" max="8966" width="10.08203125" style="136" bestFit="1" customWidth="1"/>
    <col min="8967" max="8967" width="11.33203125" style="136" bestFit="1" customWidth="1"/>
    <col min="8968" max="8968" width="9" style="136"/>
    <col min="8969" max="8969" width="6.83203125" style="136" customWidth="1"/>
    <col min="8970" max="9216" width="9" style="136"/>
    <col min="9217" max="9217" width="2" style="136" customWidth="1"/>
    <col min="9218" max="9218" width="11" style="136" customWidth="1"/>
    <col min="9219" max="9219" width="21.33203125" style="136" customWidth="1"/>
    <col min="9220" max="9220" width="7.1640625" style="136" customWidth="1"/>
    <col min="9221" max="9221" width="5.33203125" style="136" customWidth="1"/>
    <col min="9222" max="9222" width="10.08203125" style="136" bestFit="1" customWidth="1"/>
    <col min="9223" max="9223" width="11.33203125" style="136" bestFit="1" customWidth="1"/>
    <col min="9224" max="9224" width="9" style="136"/>
    <col min="9225" max="9225" width="6.83203125" style="136" customWidth="1"/>
    <col min="9226" max="9472" width="9" style="136"/>
    <col min="9473" max="9473" width="2" style="136" customWidth="1"/>
    <col min="9474" max="9474" width="11" style="136" customWidth="1"/>
    <col min="9475" max="9475" width="21.33203125" style="136" customWidth="1"/>
    <col min="9476" max="9476" width="7.1640625" style="136" customWidth="1"/>
    <col min="9477" max="9477" width="5.33203125" style="136" customWidth="1"/>
    <col min="9478" max="9478" width="10.08203125" style="136" bestFit="1" customWidth="1"/>
    <col min="9479" max="9479" width="11.33203125" style="136" bestFit="1" customWidth="1"/>
    <col min="9480" max="9480" width="9" style="136"/>
    <col min="9481" max="9481" width="6.83203125" style="136" customWidth="1"/>
    <col min="9482" max="9728" width="9" style="136"/>
    <col min="9729" max="9729" width="2" style="136" customWidth="1"/>
    <col min="9730" max="9730" width="11" style="136" customWidth="1"/>
    <col min="9731" max="9731" width="21.33203125" style="136" customWidth="1"/>
    <col min="9732" max="9732" width="7.1640625" style="136" customWidth="1"/>
    <col min="9733" max="9733" width="5.33203125" style="136" customWidth="1"/>
    <col min="9734" max="9734" width="10.08203125" style="136" bestFit="1" customWidth="1"/>
    <col min="9735" max="9735" width="11.33203125" style="136" bestFit="1" customWidth="1"/>
    <col min="9736" max="9736" width="9" style="136"/>
    <col min="9737" max="9737" width="6.83203125" style="136" customWidth="1"/>
    <col min="9738" max="9984" width="9" style="136"/>
    <col min="9985" max="9985" width="2" style="136" customWidth="1"/>
    <col min="9986" max="9986" width="11" style="136" customWidth="1"/>
    <col min="9987" max="9987" width="21.33203125" style="136" customWidth="1"/>
    <col min="9988" max="9988" width="7.1640625" style="136" customWidth="1"/>
    <col min="9989" max="9989" width="5.33203125" style="136" customWidth="1"/>
    <col min="9990" max="9990" width="10.08203125" style="136" bestFit="1" customWidth="1"/>
    <col min="9991" max="9991" width="11.33203125" style="136" bestFit="1" customWidth="1"/>
    <col min="9992" max="9992" width="9" style="136"/>
    <col min="9993" max="9993" width="6.83203125" style="136" customWidth="1"/>
    <col min="9994" max="10240" width="9" style="136"/>
    <col min="10241" max="10241" width="2" style="136" customWidth="1"/>
    <col min="10242" max="10242" width="11" style="136" customWidth="1"/>
    <col min="10243" max="10243" width="21.33203125" style="136" customWidth="1"/>
    <col min="10244" max="10244" width="7.1640625" style="136" customWidth="1"/>
    <col min="10245" max="10245" width="5.33203125" style="136" customWidth="1"/>
    <col min="10246" max="10246" width="10.08203125" style="136" bestFit="1" customWidth="1"/>
    <col min="10247" max="10247" width="11.33203125" style="136" bestFit="1" customWidth="1"/>
    <col min="10248" max="10248" width="9" style="136"/>
    <col min="10249" max="10249" width="6.83203125" style="136" customWidth="1"/>
    <col min="10250" max="10496" width="9" style="136"/>
    <col min="10497" max="10497" width="2" style="136" customWidth="1"/>
    <col min="10498" max="10498" width="11" style="136" customWidth="1"/>
    <col min="10499" max="10499" width="21.33203125" style="136" customWidth="1"/>
    <col min="10500" max="10500" width="7.1640625" style="136" customWidth="1"/>
    <col min="10501" max="10501" width="5.33203125" style="136" customWidth="1"/>
    <col min="10502" max="10502" width="10.08203125" style="136" bestFit="1" customWidth="1"/>
    <col min="10503" max="10503" width="11.33203125" style="136" bestFit="1" customWidth="1"/>
    <col min="10504" max="10504" width="9" style="136"/>
    <col min="10505" max="10505" width="6.83203125" style="136" customWidth="1"/>
    <col min="10506" max="10752" width="9" style="136"/>
    <col min="10753" max="10753" width="2" style="136" customWidth="1"/>
    <col min="10754" max="10754" width="11" style="136" customWidth="1"/>
    <col min="10755" max="10755" width="21.33203125" style="136" customWidth="1"/>
    <col min="10756" max="10756" width="7.1640625" style="136" customWidth="1"/>
    <col min="10757" max="10757" width="5.33203125" style="136" customWidth="1"/>
    <col min="10758" max="10758" width="10.08203125" style="136" bestFit="1" customWidth="1"/>
    <col min="10759" max="10759" width="11.33203125" style="136" bestFit="1" customWidth="1"/>
    <col min="10760" max="10760" width="9" style="136"/>
    <col min="10761" max="10761" width="6.83203125" style="136" customWidth="1"/>
    <col min="10762" max="11008" width="9" style="136"/>
    <col min="11009" max="11009" width="2" style="136" customWidth="1"/>
    <col min="11010" max="11010" width="11" style="136" customWidth="1"/>
    <col min="11011" max="11011" width="21.33203125" style="136" customWidth="1"/>
    <col min="11012" max="11012" width="7.1640625" style="136" customWidth="1"/>
    <col min="11013" max="11013" width="5.33203125" style="136" customWidth="1"/>
    <col min="11014" max="11014" width="10.08203125" style="136" bestFit="1" customWidth="1"/>
    <col min="11015" max="11015" width="11.33203125" style="136" bestFit="1" customWidth="1"/>
    <col min="11016" max="11016" width="9" style="136"/>
    <col min="11017" max="11017" width="6.83203125" style="136" customWidth="1"/>
    <col min="11018" max="11264" width="9" style="136"/>
    <col min="11265" max="11265" width="2" style="136" customWidth="1"/>
    <col min="11266" max="11266" width="11" style="136" customWidth="1"/>
    <col min="11267" max="11267" width="21.33203125" style="136" customWidth="1"/>
    <col min="11268" max="11268" width="7.1640625" style="136" customWidth="1"/>
    <col min="11269" max="11269" width="5.33203125" style="136" customWidth="1"/>
    <col min="11270" max="11270" width="10.08203125" style="136" bestFit="1" customWidth="1"/>
    <col min="11271" max="11271" width="11.33203125" style="136" bestFit="1" customWidth="1"/>
    <col min="11272" max="11272" width="9" style="136"/>
    <col min="11273" max="11273" width="6.83203125" style="136" customWidth="1"/>
    <col min="11274" max="11520" width="9" style="136"/>
    <col min="11521" max="11521" width="2" style="136" customWidth="1"/>
    <col min="11522" max="11522" width="11" style="136" customWidth="1"/>
    <col min="11523" max="11523" width="21.33203125" style="136" customWidth="1"/>
    <col min="11524" max="11524" width="7.1640625" style="136" customWidth="1"/>
    <col min="11525" max="11525" width="5.33203125" style="136" customWidth="1"/>
    <col min="11526" max="11526" width="10.08203125" style="136" bestFit="1" customWidth="1"/>
    <col min="11527" max="11527" width="11.33203125" style="136" bestFit="1" customWidth="1"/>
    <col min="11528" max="11528" width="9" style="136"/>
    <col min="11529" max="11529" width="6.83203125" style="136" customWidth="1"/>
    <col min="11530" max="11776" width="9" style="136"/>
    <col min="11777" max="11777" width="2" style="136" customWidth="1"/>
    <col min="11778" max="11778" width="11" style="136" customWidth="1"/>
    <col min="11779" max="11779" width="21.33203125" style="136" customWidth="1"/>
    <col min="11780" max="11780" width="7.1640625" style="136" customWidth="1"/>
    <col min="11781" max="11781" width="5.33203125" style="136" customWidth="1"/>
    <col min="11782" max="11782" width="10.08203125" style="136" bestFit="1" customWidth="1"/>
    <col min="11783" max="11783" width="11.33203125" style="136" bestFit="1" customWidth="1"/>
    <col min="11784" max="11784" width="9" style="136"/>
    <col min="11785" max="11785" width="6.83203125" style="136" customWidth="1"/>
    <col min="11786" max="12032" width="9" style="136"/>
    <col min="12033" max="12033" width="2" style="136" customWidth="1"/>
    <col min="12034" max="12034" width="11" style="136" customWidth="1"/>
    <col min="12035" max="12035" width="21.33203125" style="136" customWidth="1"/>
    <col min="12036" max="12036" width="7.1640625" style="136" customWidth="1"/>
    <col min="12037" max="12037" width="5.33203125" style="136" customWidth="1"/>
    <col min="12038" max="12038" width="10.08203125" style="136" bestFit="1" customWidth="1"/>
    <col min="12039" max="12039" width="11.33203125" style="136" bestFit="1" customWidth="1"/>
    <col min="12040" max="12040" width="9" style="136"/>
    <col min="12041" max="12041" width="6.83203125" style="136" customWidth="1"/>
    <col min="12042" max="12288" width="9" style="136"/>
    <col min="12289" max="12289" width="2" style="136" customWidth="1"/>
    <col min="12290" max="12290" width="11" style="136" customWidth="1"/>
    <col min="12291" max="12291" width="21.33203125" style="136" customWidth="1"/>
    <col min="12292" max="12292" width="7.1640625" style="136" customWidth="1"/>
    <col min="12293" max="12293" width="5.33203125" style="136" customWidth="1"/>
    <col min="12294" max="12294" width="10.08203125" style="136" bestFit="1" customWidth="1"/>
    <col min="12295" max="12295" width="11.33203125" style="136" bestFit="1" customWidth="1"/>
    <col min="12296" max="12296" width="9" style="136"/>
    <col min="12297" max="12297" width="6.83203125" style="136" customWidth="1"/>
    <col min="12298" max="12544" width="9" style="136"/>
    <col min="12545" max="12545" width="2" style="136" customWidth="1"/>
    <col min="12546" max="12546" width="11" style="136" customWidth="1"/>
    <col min="12547" max="12547" width="21.33203125" style="136" customWidth="1"/>
    <col min="12548" max="12548" width="7.1640625" style="136" customWidth="1"/>
    <col min="12549" max="12549" width="5.33203125" style="136" customWidth="1"/>
    <col min="12550" max="12550" width="10.08203125" style="136" bestFit="1" customWidth="1"/>
    <col min="12551" max="12551" width="11.33203125" style="136" bestFit="1" customWidth="1"/>
    <col min="12552" max="12552" width="9" style="136"/>
    <col min="12553" max="12553" width="6.83203125" style="136" customWidth="1"/>
    <col min="12554" max="12800" width="9" style="136"/>
    <col min="12801" max="12801" width="2" style="136" customWidth="1"/>
    <col min="12802" max="12802" width="11" style="136" customWidth="1"/>
    <col min="12803" max="12803" width="21.33203125" style="136" customWidth="1"/>
    <col min="12804" max="12804" width="7.1640625" style="136" customWidth="1"/>
    <col min="12805" max="12805" width="5.33203125" style="136" customWidth="1"/>
    <col min="12806" max="12806" width="10.08203125" style="136" bestFit="1" customWidth="1"/>
    <col min="12807" max="12807" width="11.33203125" style="136" bestFit="1" customWidth="1"/>
    <col min="12808" max="12808" width="9" style="136"/>
    <col min="12809" max="12809" width="6.83203125" style="136" customWidth="1"/>
    <col min="12810" max="13056" width="9" style="136"/>
    <col min="13057" max="13057" width="2" style="136" customWidth="1"/>
    <col min="13058" max="13058" width="11" style="136" customWidth="1"/>
    <col min="13059" max="13059" width="21.33203125" style="136" customWidth="1"/>
    <col min="13060" max="13060" width="7.1640625" style="136" customWidth="1"/>
    <col min="13061" max="13061" width="5.33203125" style="136" customWidth="1"/>
    <col min="13062" max="13062" width="10.08203125" style="136" bestFit="1" customWidth="1"/>
    <col min="13063" max="13063" width="11.33203125" style="136" bestFit="1" customWidth="1"/>
    <col min="13064" max="13064" width="9" style="136"/>
    <col min="13065" max="13065" width="6.83203125" style="136" customWidth="1"/>
    <col min="13066" max="13312" width="9" style="136"/>
    <col min="13313" max="13313" width="2" style="136" customWidth="1"/>
    <col min="13314" max="13314" width="11" style="136" customWidth="1"/>
    <col min="13315" max="13315" width="21.33203125" style="136" customWidth="1"/>
    <col min="13316" max="13316" width="7.1640625" style="136" customWidth="1"/>
    <col min="13317" max="13317" width="5.33203125" style="136" customWidth="1"/>
    <col min="13318" max="13318" width="10.08203125" style="136" bestFit="1" customWidth="1"/>
    <col min="13319" max="13319" width="11.33203125" style="136" bestFit="1" customWidth="1"/>
    <col min="13320" max="13320" width="9" style="136"/>
    <col min="13321" max="13321" width="6.83203125" style="136" customWidth="1"/>
    <col min="13322" max="13568" width="9" style="136"/>
    <col min="13569" max="13569" width="2" style="136" customWidth="1"/>
    <col min="13570" max="13570" width="11" style="136" customWidth="1"/>
    <col min="13571" max="13571" width="21.33203125" style="136" customWidth="1"/>
    <col min="13572" max="13572" width="7.1640625" style="136" customWidth="1"/>
    <col min="13573" max="13573" width="5.33203125" style="136" customWidth="1"/>
    <col min="13574" max="13574" width="10.08203125" style="136" bestFit="1" customWidth="1"/>
    <col min="13575" max="13575" width="11.33203125" style="136" bestFit="1" customWidth="1"/>
    <col min="13576" max="13576" width="9" style="136"/>
    <col min="13577" max="13577" width="6.83203125" style="136" customWidth="1"/>
    <col min="13578" max="13824" width="9" style="136"/>
    <col min="13825" max="13825" width="2" style="136" customWidth="1"/>
    <col min="13826" max="13826" width="11" style="136" customWidth="1"/>
    <col min="13827" max="13827" width="21.33203125" style="136" customWidth="1"/>
    <col min="13828" max="13828" width="7.1640625" style="136" customWidth="1"/>
    <col min="13829" max="13829" width="5.33203125" style="136" customWidth="1"/>
    <col min="13830" max="13830" width="10.08203125" style="136" bestFit="1" customWidth="1"/>
    <col min="13831" max="13831" width="11.33203125" style="136" bestFit="1" customWidth="1"/>
    <col min="13832" max="13832" width="9" style="136"/>
    <col min="13833" max="13833" width="6.83203125" style="136" customWidth="1"/>
    <col min="13834" max="14080" width="9" style="136"/>
    <col min="14081" max="14081" width="2" style="136" customWidth="1"/>
    <col min="14082" max="14082" width="11" style="136" customWidth="1"/>
    <col min="14083" max="14083" width="21.33203125" style="136" customWidth="1"/>
    <col min="14084" max="14084" width="7.1640625" style="136" customWidth="1"/>
    <col min="14085" max="14085" width="5.33203125" style="136" customWidth="1"/>
    <col min="14086" max="14086" width="10.08203125" style="136" bestFit="1" customWidth="1"/>
    <col min="14087" max="14087" width="11.33203125" style="136" bestFit="1" customWidth="1"/>
    <col min="14088" max="14088" width="9" style="136"/>
    <col min="14089" max="14089" width="6.83203125" style="136" customWidth="1"/>
    <col min="14090" max="14336" width="9" style="136"/>
    <col min="14337" max="14337" width="2" style="136" customWidth="1"/>
    <col min="14338" max="14338" width="11" style="136" customWidth="1"/>
    <col min="14339" max="14339" width="21.33203125" style="136" customWidth="1"/>
    <col min="14340" max="14340" width="7.1640625" style="136" customWidth="1"/>
    <col min="14341" max="14341" width="5.33203125" style="136" customWidth="1"/>
    <col min="14342" max="14342" width="10.08203125" style="136" bestFit="1" customWidth="1"/>
    <col min="14343" max="14343" width="11.33203125" style="136" bestFit="1" customWidth="1"/>
    <col min="14344" max="14344" width="9" style="136"/>
    <col min="14345" max="14345" width="6.83203125" style="136" customWidth="1"/>
    <col min="14346" max="14592" width="9" style="136"/>
    <col min="14593" max="14593" width="2" style="136" customWidth="1"/>
    <col min="14594" max="14594" width="11" style="136" customWidth="1"/>
    <col min="14595" max="14595" width="21.33203125" style="136" customWidth="1"/>
    <col min="14596" max="14596" width="7.1640625" style="136" customWidth="1"/>
    <col min="14597" max="14597" width="5.33203125" style="136" customWidth="1"/>
    <col min="14598" max="14598" width="10.08203125" style="136" bestFit="1" customWidth="1"/>
    <col min="14599" max="14599" width="11.33203125" style="136" bestFit="1" customWidth="1"/>
    <col min="14600" max="14600" width="9" style="136"/>
    <col min="14601" max="14601" width="6.83203125" style="136" customWidth="1"/>
    <col min="14602" max="14848" width="9" style="136"/>
    <col min="14849" max="14849" width="2" style="136" customWidth="1"/>
    <col min="14850" max="14850" width="11" style="136" customWidth="1"/>
    <col min="14851" max="14851" width="21.33203125" style="136" customWidth="1"/>
    <col min="14852" max="14852" width="7.1640625" style="136" customWidth="1"/>
    <col min="14853" max="14853" width="5.33203125" style="136" customWidth="1"/>
    <col min="14854" max="14854" width="10.08203125" style="136" bestFit="1" customWidth="1"/>
    <col min="14855" max="14855" width="11.33203125" style="136" bestFit="1" customWidth="1"/>
    <col min="14856" max="14856" width="9" style="136"/>
    <col min="14857" max="14857" width="6.83203125" style="136" customWidth="1"/>
    <col min="14858" max="15104" width="9" style="136"/>
    <col min="15105" max="15105" width="2" style="136" customWidth="1"/>
    <col min="15106" max="15106" width="11" style="136" customWidth="1"/>
    <col min="15107" max="15107" width="21.33203125" style="136" customWidth="1"/>
    <col min="15108" max="15108" width="7.1640625" style="136" customWidth="1"/>
    <col min="15109" max="15109" width="5.33203125" style="136" customWidth="1"/>
    <col min="15110" max="15110" width="10.08203125" style="136" bestFit="1" customWidth="1"/>
    <col min="15111" max="15111" width="11.33203125" style="136" bestFit="1" customWidth="1"/>
    <col min="15112" max="15112" width="9" style="136"/>
    <col min="15113" max="15113" width="6.83203125" style="136" customWidth="1"/>
    <col min="15114" max="15360" width="9" style="136"/>
    <col min="15361" max="15361" width="2" style="136" customWidth="1"/>
    <col min="15362" max="15362" width="11" style="136" customWidth="1"/>
    <col min="15363" max="15363" width="21.33203125" style="136" customWidth="1"/>
    <col min="15364" max="15364" width="7.1640625" style="136" customWidth="1"/>
    <col min="15365" max="15365" width="5.33203125" style="136" customWidth="1"/>
    <col min="15366" max="15366" width="10.08203125" style="136" bestFit="1" customWidth="1"/>
    <col min="15367" max="15367" width="11.33203125" style="136" bestFit="1" customWidth="1"/>
    <col min="15368" max="15368" width="9" style="136"/>
    <col min="15369" max="15369" width="6.83203125" style="136" customWidth="1"/>
    <col min="15370" max="15616" width="9" style="136"/>
    <col min="15617" max="15617" width="2" style="136" customWidth="1"/>
    <col min="15618" max="15618" width="11" style="136" customWidth="1"/>
    <col min="15619" max="15619" width="21.33203125" style="136" customWidth="1"/>
    <col min="15620" max="15620" width="7.1640625" style="136" customWidth="1"/>
    <col min="15621" max="15621" width="5.33203125" style="136" customWidth="1"/>
    <col min="15622" max="15622" width="10.08203125" style="136" bestFit="1" customWidth="1"/>
    <col min="15623" max="15623" width="11.33203125" style="136" bestFit="1" customWidth="1"/>
    <col min="15624" max="15624" width="9" style="136"/>
    <col min="15625" max="15625" width="6.83203125" style="136" customWidth="1"/>
    <col min="15626" max="15872" width="9" style="136"/>
    <col min="15873" max="15873" width="2" style="136" customWidth="1"/>
    <col min="15874" max="15874" width="11" style="136" customWidth="1"/>
    <col min="15875" max="15875" width="21.33203125" style="136" customWidth="1"/>
    <col min="15876" max="15876" width="7.1640625" style="136" customWidth="1"/>
    <col min="15877" max="15877" width="5.33203125" style="136" customWidth="1"/>
    <col min="15878" max="15878" width="10.08203125" style="136" bestFit="1" customWidth="1"/>
    <col min="15879" max="15879" width="11.33203125" style="136" bestFit="1" customWidth="1"/>
    <col min="15880" max="15880" width="9" style="136"/>
    <col min="15881" max="15881" width="6.83203125" style="136" customWidth="1"/>
    <col min="15882" max="16128" width="9" style="136"/>
    <col min="16129" max="16129" width="2" style="136" customWidth="1"/>
    <col min="16130" max="16130" width="11" style="136" customWidth="1"/>
    <col min="16131" max="16131" width="21.33203125" style="136" customWidth="1"/>
    <col min="16132" max="16132" width="7.1640625" style="136" customWidth="1"/>
    <col min="16133" max="16133" width="5.33203125" style="136" customWidth="1"/>
    <col min="16134" max="16134" width="10.08203125" style="136" bestFit="1" customWidth="1"/>
    <col min="16135" max="16135" width="11.33203125" style="136" bestFit="1" customWidth="1"/>
    <col min="16136" max="16136" width="9" style="136"/>
    <col min="16137" max="16137" width="6.83203125" style="136" customWidth="1"/>
    <col min="16138" max="16384" width="9" style="136"/>
  </cols>
  <sheetData>
    <row r="1" spans="2:9" ht="6.75" customHeight="1"/>
    <row r="2" spans="2:9" ht="33">
      <c r="B2" s="185" t="s">
        <v>337</v>
      </c>
      <c r="C2" s="185"/>
      <c r="D2" s="185"/>
      <c r="E2" s="185"/>
      <c r="F2" s="185"/>
      <c r="G2" s="185"/>
      <c r="H2" s="185"/>
      <c r="I2" s="185"/>
    </row>
    <row r="3" spans="2:9" ht="20.25" customHeight="1" thickBot="1"/>
    <row r="4" spans="2:9" ht="22.5" customHeight="1">
      <c r="B4" s="186">
        <f ca="1">TODAY()</f>
        <v>45821</v>
      </c>
      <c r="C4" s="186"/>
      <c r="E4" s="187" t="s">
        <v>338</v>
      </c>
      <c r="F4" s="137" t="s">
        <v>339</v>
      </c>
      <c r="G4" s="190" t="s">
        <v>340</v>
      </c>
      <c r="H4" s="190"/>
      <c r="I4" s="191"/>
    </row>
    <row r="5" spans="2:9" ht="22.5" customHeight="1">
      <c r="B5" s="192" t="s">
        <v>341</v>
      </c>
      <c r="C5" s="192"/>
      <c r="E5" s="188"/>
      <c r="F5" s="138" t="s">
        <v>342</v>
      </c>
      <c r="G5" s="139" t="s">
        <v>343</v>
      </c>
      <c r="H5" s="139" t="s">
        <v>127</v>
      </c>
      <c r="I5" s="140" t="s">
        <v>344</v>
      </c>
    </row>
    <row r="6" spans="2:9" ht="22.5" customHeight="1">
      <c r="B6" s="193" t="s">
        <v>345</v>
      </c>
      <c r="C6" s="193"/>
      <c r="E6" s="188"/>
      <c r="F6" s="139" t="s">
        <v>346</v>
      </c>
      <c r="G6" s="194" t="s">
        <v>347</v>
      </c>
      <c r="H6" s="194"/>
      <c r="I6" s="195"/>
    </row>
    <row r="7" spans="2:9" ht="22.5" customHeight="1" thickBot="1">
      <c r="B7" s="136" t="s">
        <v>348</v>
      </c>
      <c r="C7" s="141">
        <f>H31</f>
        <v>1873300</v>
      </c>
      <c r="D7" s="136" t="s">
        <v>349</v>
      </c>
      <c r="E7" s="189"/>
      <c r="F7" s="142" t="s">
        <v>350</v>
      </c>
      <c r="G7" s="196">
        <v>647635555</v>
      </c>
      <c r="H7" s="196"/>
      <c r="I7" s="197"/>
    </row>
    <row r="8" spans="2:9" ht="18" customHeight="1" thickBot="1">
      <c r="B8" s="143" t="s">
        <v>351</v>
      </c>
      <c r="C8" s="144" t="s">
        <v>352</v>
      </c>
      <c r="D8" s="198" t="s">
        <v>353</v>
      </c>
      <c r="E8" s="198"/>
      <c r="F8" s="144" t="s">
        <v>153</v>
      </c>
      <c r="G8" s="144" t="s">
        <v>354</v>
      </c>
      <c r="H8" s="198" t="s">
        <v>355</v>
      </c>
      <c r="I8" s="199"/>
    </row>
    <row r="9" spans="2:9" ht="18" customHeight="1" thickTop="1">
      <c r="B9" s="145">
        <v>1</v>
      </c>
      <c r="C9" s="146" t="s">
        <v>356</v>
      </c>
      <c r="D9" s="200" t="str">
        <f>IF(ISBLANK(C9),"",VLOOKUP(C9,제품목록!$A$1:$C$21,2,FALSE))</f>
        <v>개</v>
      </c>
      <c r="E9" s="200"/>
      <c r="F9" s="147">
        <v>5</v>
      </c>
      <c r="G9" s="147">
        <f>IF(ISBLANK(C9),"",VLOOKUP(C9,제품목록!$A$1:$C$21,3,FALSE))</f>
        <v>135000</v>
      </c>
      <c r="H9" s="201">
        <f>IF(ISERROR(F9*G9),"",F9*G9)</f>
        <v>675000</v>
      </c>
      <c r="I9" s="202"/>
    </row>
    <row r="10" spans="2:9" ht="18" customHeight="1">
      <c r="B10" s="148">
        <v>2</v>
      </c>
      <c r="C10" s="149" t="s">
        <v>357</v>
      </c>
      <c r="D10" s="200" t="str">
        <f>IF(ISBLANK(C10),"",VLOOKUP(C10,제품목록!$A$1:$C$21,2,FALSE))</f>
        <v>Box</v>
      </c>
      <c r="E10" s="200"/>
      <c r="F10" s="150">
        <v>2</v>
      </c>
      <c r="G10" s="147">
        <f>IF(ISBLANK(C10),"",VLOOKUP(C10,제품목록!$A$1:$C$21,3,FALSE))</f>
        <v>49000</v>
      </c>
      <c r="H10" s="201">
        <f t="shared" ref="H10:H28" si="0">IF(ISERROR(F10*G10),"",F10*G10)</f>
        <v>98000</v>
      </c>
      <c r="I10" s="202"/>
    </row>
    <row r="11" spans="2:9" ht="18" customHeight="1">
      <c r="B11" s="148">
        <v>3</v>
      </c>
      <c r="C11" s="149" t="s">
        <v>358</v>
      </c>
      <c r="D11" s="200" t="str">
        <f>IF(ISBLANK(C11),"",VLOOKUP(C11,제품목록!$A$1:$C$21,2,FALSE))</f>
        <v>Box</v>
      </c>
      <c r="E11" s="200"/>
      <c r="F11" s="151">
        <v>5</v>
      </c>
      <c r="G11" s="147">
        <f>IF(ISBLANK(C11),"",VLOOKUP(C11,제품목록!$A$1:$C$21,3,FALSE))</f>
        <v>150000</v>
      </c>
      <c r="H11" s="201">
        <f t="shared" si="0"/>
        <v>750000</v>
      </c>
      <c r="I11" s="202"/>
    </row>
    <row r="12" spans="2:9" ht="18" customHeight="1">
      <c r="B12" s="148">
        <v>4</v>
      </c>
      <c r="C12" s="149" t="s">
        <v>359</v>
      </c>
      <c r="D12" s="200" t="str">
        <f>IF(ISBLANK(C12),"",VLOOKUP(C12,제품목록!$A$1:$C$21,2,FALSE))</f>
        <v>Box</v>
      </c>
      <c r="E12" s="200"/>
      <c r="F12" s="150">
        <v>3</v>
      </c>
      <c r="G12" s="147">
        <f>IF(ISBLANK(C12),"",VLOOKUP(C12,제품목록!$A$1:$C$21,3,FALSE))</f>
        <v>60000</v>
      </c>
      <c r="H12" s="201">
        <f t="shared" si="0"/>
        <v>180000</v>
      </c>
      <c r="I12" s="202"/>
    </row>
    <row r="13" spans="2:9" ht="18" customHeight="1">
      <c r="B13" s="148">
        <v>5</v>
      </c>
      <c r="C13" s="149"/>
      <c r="D13" s="200" t="str">
        <f>IF(ISBLANK(C13),"",VLOOKUP(C13,제품목록!$A$1:$C$21,2,FALSE))</f>
        <v/>
      </c>
      <c r="E13" s="200"/>
      <c r="F13" s="150"/>
      <c r="G13" s="147" t="str">
        <f>IF(ISBLANK(C13),"",VLOOKUP(C13,제품목록!$A$1:$C$21,3,FALSE))</f>
        <v/>
      </c>
      <c r="H13" s="201" t="str">
        <f t="shared" si="0"/>
        <v/>
      </c>
      <c r="I13" s="202"/>
    </row>
    <row r="14" spans="2:9" ht="18" customHeight="1">
      <c r="B14" s="148">
        <v>6</v>
      </c>
      <c r="C14" s="149"/>
      <c r="D14" s="200" t="str">
        <f>IF(ISBLANK(C14),"",VLOOKUP(C14,제품목록!$A$1:$C$21,2,FALSE))</f>
        <v/>
      </c>
      <c r="E14" s="200"/>
      <c r="F14" s="150"/>
      <c r="G14" s="147" t="str">
        <f>IF(ISBLANK(C14),"",VLOOKUP(C14,제품목록!$A$1:$C$21,3,FALSE))</f>
        <v/>
      </c>
      <c r="H14" s="201" t="str">
        <f t="shared" si="0"/>
        <v/>
      </c>
      <c r="I14" s="202"/>
    </row>
    <row r="15" spans="2:9" ht="18" customHeight="1">
      <c r="B15" s="148">
        <v>7</v>
      </c>
      <c r="C15" s="149"/>
      <c r="D15" s="200" t="str">
        <f>IF(ISBLANK(C15),"",VLOOKUP(C15,제품목록!$A$1:$C$21,2,FALSE))</f>
        <v/>
      </c>
      <c r="E15" s="200"/>
      <c r="F15" s="150"/>
      <c r="G15" s="147" t="str">
        <f>IF(ISBLANK(C15),"",VLOOKUP(C15,제품목록!$A$1:$C$21,3,FALSE))</f>
        <v/>
      </c>
      <c r="H15" s="201" t="str">
        <f>IF(ISERROR(F15*G15),"",F15*G15)</f>
        <v/>
      </c>
      <c r="I15" s="202"/>
    </row>
    <row r="16" spans="2:9" ht="18" customHeight="1">
      <c r="B16" s="148">
        <v>8</v>
      </c>
      <c r="C16" s="149"/>
      <c r="D16" s="200" t="str">
        <f>IF(ISBLANK(C16),"",VLOOKUP(C16,제품목록!$A$1:$C$21,2,FALSE))</f>
        <v/>
      </c>
      <c r="E16" s="200"/>
      <c r="F16" s="150"/>
      <c r="G16" s="147" t="str">
        <f>IF(ISBLANK(C16),"",VLOOKUP(C16,제품목록!$A$1:$C$21,3,FALSE))</f>
        <v/>
      </c>
      <c r="H16" s="201" t="str">
        <f>IF(ISERROR(F16*G16),"",F16*G16)</f>
        <v/>
      </c>
      <c r="I16" s="202"/>
    </row>
    <row r="17" spans="2:9" ht="18" customHeight="1">
      <c r="B17" s="148">
        <v>9</v>
      </c>
      <c r="C17" s="149"/>
      <c r="D17" s="200" t="str">
        <f>IF(ISBLANK(C17),"",VLOOKUP(C17,제품목록!$A$1:$C$21,2,FALSE))</f>
        <v/>
      </c>
      <c r="E17" s="200"/>
      <c r="F17" s="150"/>
      <c r="G17" s="147" t="str">
        <f>IF(ISBLANK(C17),"",VLOOKUP(C17,제품목록!$A$1:$C$21,3,FALSE))</f>
        <v/>
      </c>
      <c r="H17" s="201" t="str">
        <f>IF(ISERROR(F17*G17),"",F17*G17)</f>
        <v/>
      </c>
      <c r="I17" s="202"/>
    </row>
    <row r="18" spans="2:9" ht="18" customHeight="1">
      <c r="B18" s="148">
        <v>10</v>
      </c>
      <c r="C18" s="149"/>
      <c r="D18" s="200" t="str">
        <f>IF(ISBLANK(C18),"",VLOOKUP(C18,제품목록!$A$1:$C$21,2,FALSE))</f>
        <v/>
      </c>
      <c r="E18" s="200"/>
      <c r="F18" s="150"/>
      <c r="G18" s="147" t="str">
        <f>IF(ISBLANK(C18),"",VLOOKUP(C18,제품목록!$A$1:$C$21,3,FALSE))</f>
        <v/>
      </c>
      <c r="H18" s="201" t="str">
        <f>IF(ISERROR(F18*G18),"",F18*G18)</f>
        <v/>
      </c>
      <c r="I18" s="202"/>
    </row>
    <row r="19" spans="2:9" ht="18" customHeight="1">
      <c r="B19" s="148">
        <v>11</v>
      </c>
      <c r="C19" s="149"/>
      <c r="D19" s="200" t="str">
        <f>IF(ISBLANK(C19),"",VLOOKUP(C19,제품목록!$A$1:$C$21,2,FALSE))</f>
        <v/>
      </c>
      <c r="E19" s="200"/>
      <c r="F19" s="150"/>
      <c r="G19" s="147" t="str">
        <f>IF(ISBLANK(C19),"",VLOOKUP(C19,제품목록!$A$1:$C$21,3,FALSE))</f>
        <v/>
      </c>
      <c r="H19" s="201" t="str">
        <f>IF(ISERROR(F19*G19),"",F19*G19)</f>
        <v/>
      </c>
      <c r="I19" s="202"/>
    </row>
    <row r="20" spans="2:9" ht="18" customHeight="1">
      <c r="B20" s="148">
        <v>12</v>
      </c>
      <c r="C20" s="149"/>
      <c r="D20" s="200" t="str">
        <f>IF(ISBLANK(C20),"",VLOOKUP(C20,제품목록!$A$1:$C$21,2,FALSE))</f>
        <v/>
      </c>
      <c r="E20" s="200"/>
      <c r="F20" s="150"/>
      <c r="G20" s="147" t="str">
        <f>IF(ISBLANK(C20),"",VLOOKUP(C20,제품목록!$A$1:$C$21,3,FALSE))</f>
        <v/>
      </c>
      <c r="H20" s="201" t="str">
        <f t="shared" si="0"/>
        <v/>
      </c>
      <c r="I20" s="202"/>
    </row>
    <row r="21" spans="2:9" ht="18" customHeight="1">
      <c r="B21" s="148">
        <v>13</v>
      </c>
      <c r="C21" s="149"/>
      <c r="D21" s="200" t="str">
        <f>IF(ISBLANK(C21),"",VLOOKUP(C21,제품목록!$A$1:$C$21,2,FALSE))</f>
        <v/>
      </c>
      <c r="E21" s="200"/>
      <c r="F21" s="150"/>
      <c r="G21" s="147" t="str">
        <f>IF(ISBLANK(C21),"",VLOOKUP(C21,제품목록!$A$1:$C$21,3,FALSE))</f>
        <v/>
      </c>
      <c r="H21" s="201" t="str">
        <f t="shared" si="0"/>
        <v/>
      </c>
      <c r="I21" s="202"/>
    </row>
    <row r="22" spans="2:9" ht="18" customHeight="1">
      <c r="B22" s="148">
        <v>14</v>
      </c>
      <c r="C22" s="149"/>
      <c r="D22" s="200" t="str">
        <f>IF(ISBLANK(C22),"",VLOOKUP(C22,제품목록!$A$1:$C$21,2,FALSE))</f>
        <v/>
      </c>
      <c r="E22" s="200"/>
      <c r="F22" s="150"/>
      <c r="G22" s="147" t="str">
        <f>IF(ISBLANK(C22),"",VLOOKUP(C22,제품목록!$A$1:$C$21,3,FALSE))</f>
        <v/>
      </c>
      <c r="H22" s="201" t="str">
        <f t="shared" si="0"/>
        <v/>
      </c>
      <c r="I22" s="202"/>
    </row>
    <row r="23" spans="2:9" ht="18" customHeight="1">
      <c r="B23" s="148">
        <v>15</v>
      </c>
      <c r="C23" s="149"/>
      <c r="D23" s="200" t="str">
        <f>IF(ISBLANK(C23),"",VLOOKUP(C23,제품목록!$A$1:$C$21,2,FALSE))</f>
        <v/>
      </c>
      <c r="E23" s="200"/>
      <c r="F23" s="150"/>
      <c r="G23" s="147" t="str">
        <f>IF(ISBLANK(C23),"",VLOOKUP(C23,제품목록!$A$1:$C$21,3,FALSE))</f>
        <v/>
      </c>
      <c r="H23" s="201" t="str">
        <f t="shared" si="0"/>
        <v/>
      </c>
      <c r="I23" s="202"/>
    </row>
    <row r="24" spans="2:9" ht="18" customHeight="1">
      <c r="B24" s="148">
        <v>16</v>
      </c>
      <c r="C24" s="149"/>
      <c r="D24" s="200" t="str">
        <f>IF(ISBLANK(C24),"",VLOOKUP(C24,제품목록!$A$1:$C$21,2,FALSE))</f>
        <v/>
      </c>
      <c r="E24" s="200"/>
      <c r="F24" s="150"/>
      <c r="G24" s="147" t="str">
        <f>IF(ISBLANK(C24),"",VLOOKUP(C24,제품목록!$A$1:$C$21,3,FALSE))</f>
        <v/>
      </c>
      <c r="H24" s="201" t="str">
        <f t="shared" si="0"/>
        <v/>
      </c>
      <c r="I24" s="202"/>
    </row>
    <row r="25" spans="2:9" ht="18" customHeight="1">
      <c r="B25" s="148">
        <v>17</v>
      </c>
      <c r="C25" s="149"/>
      <c r="D25" s="200" t="str">
        <f>IF(ISBLANK(C25),"",VLOOKUP(C25,제품목록!$A$1:$C$21,2,FALSE))</f>
        <v/>
      </c>
      <c r="E25" s="200"/>
      <c r="F25" s="150"/>
      <c r="G25" s="147" t="str">
        <f>IF(ISBLANK(C25),"",VLOOKUP(C25,제품목록!$A$1:$C$21,3,FALSE))</f>
        <v/>
      </c>
      <c r="H25" s="201" t="str">
        <f t="shared" si="0"/>
        <v/>
      </c>
      <c r="I25" s="202"/>
    </row>
    <row r="26" spans="2:9" ht="18" customHeight="1">
      <c r="B26" s="148">
        <v>18</v>
      </c>
      <c r="C26" s="149"/>
      <c r="D26" s="200" t="str">
        <f>IF(ISBLANK(C26),"",VLOOKUP(C26,제품목록!$A$1:$C$21,2,FALSE))</f>
        <v/>
      </c>
      <c r="E26" s="200"/>
      <c r="F26" s="150"/>
      <c r="G26" s="147" t="str">
        <f>IF(ISBLANK(C26),"",VLOOKUP(C26,제품목록!$A$1:$C$21,3,FALSE))</f>
        <v/>
      </c>
      <c r="H26" s="203" t="str">
        <f t="shared" si="0"/>
        <v/>
      </c>
      <c r="I26" s="204"/>
    </row>
    <row r="27" spans="2:9" ht="18" customHeight="1">
      <c r="B27" s="148">
        <v>19</v>
      </c>
      <c r="C27" s="149"/>
      <c r="D27" s="200" t="str">
        <f>IF(ISBLANK(C27),"",VLOOKUP(C27,제품목록!$A$1:$C$21,2,FALSE))</f>
        <v/>
      </c>
      <c r="E27" s="200"/>
      <c r="F27" s="150"/>
      <c r="G27" s="147" t="str">
        <f>IF(ISBLANK(C27),"",VLOOKUP(C27,제품목록!$A$1:$C$21,3,FALSE))</f>
        <v/>
      </c>
      <c r="H27" s="203" t="str">
        <f t="shared" si="0"/>
        <v/>
      </c>
      <c r="I27" s="204"/>
    </row>
    <row r="28" spans="2:9" ht="18" customHeight="1" thickBot="1">
      <c r="B28" s="152">
        <v>20</v>
      </c>
      <c r="C28" s="153"/>
      <c r="D28" s="205" t="str">
        <f>IF(ISBLANK(C28),"",VLOOKUP(C28,제품목록!$A$1:$C$21,2,FALSE))</f>
        <v/>
      </c>
      <c r="E28" s="205"/>
      <c r="F28" s="154"/>
      <c r="G28" s="154" t="str">
        <f>IF(ISBLANK(C28),"",VLOOKUP(C28,제품목록!$A$1:$C$21,3,FALSE))</f>
        <v/>
      </c>
      <c r="H28" s="206" t="str">
        <f t="shared" si="0"/>
        <v/>
      </c>
      <c r="I28" s="207"/>
    </row>
    <row r="29" spans="2:9" ht="23.25" customHeight="1" thickTop="1">
      <c r="B29" s="155" t="s">
        <v>360</v>
      </c>
      <c r="C29" s="156"/>
      <c r="D29" s="209" t="s">
        <v>361</v>
      </c>
      <c r="E29" s="209"/>
      <c r="F29" s="209"/>
      <c r="G29" s="209"/>
      <c r="H29" s="210">
        <f>SUM(H9:I28)</f>
        <v>1703000</v>
      </c>
      <c r="I29" s="211"/>
    </row>
    <row r="30" spans="2:9" ht="23.25" customHeight="1">
      <c r="B30" s="157"/>
      <c r="C30" s="158"/>
      <c r="D30" s="212" t="s">
        <v>362</v>
      </c>
      <c r="E30" s="212"/>
      <c r="F30" s="212"/>
      <c r="G30" s="212"/>
      <c r="H30" s="213">
        <f>H29*10%</f>
        <v>170300</v>
      </c>
      <c r="I30" s="214"/>
    </row>
    <row r="31" spans="2:9" ht="23.25" customHeight="1" thickBot="1">
      <c r="B31" s="159"/>
      <c r="C31" s="160"/>
      <c r="D31" s="215" t="s">
        <v>363</v>
      </c>
      <c r="E31" s="215"/>
      <c r="F31" s="215"/>
      <c r="G31" s="215"/>
      <c r="H31" s="216">
        <f>H29+H30</f>
        <v>1873300</v>
      </c>
      <c r="I31" s="217"/>
    </row>
    <row r="32" spans="2:9" ht="16.5" customHeight="1">
      <c r="B32" s="136" t="s">
        <v>364</v>
      </c>
      <c r="G32" s="208" t="s">
        <v>343</v>
      </c>
      <c r="H32" s="208"/>
      <c r="I32" s="208"/>
    </row>
    <row r="33" spans="2:9" ht="16.5" customHeight="1">
      <c r="B33" s="136" t="s">
        <v>365</v>
      </c>
      <c r="C33" s="161">
        <f ca="1">B4+30</f>
        <v>45851</v>
      </c>
      <c r="D33" s="136" t="s">
        <v>366</v>
      </c>
      <c r="G33" s="208"/>
      <c r="H33" s="208"/>
      <c r="I33" s="208"/>
    </row>
  </sheetData>
  <mergeCells count="57">
    <mergeCell ref="G32:I33"/>
    <mergeCell ref="D29:G29"/>
    <mergeCell ref="H29:I29"/>
    <mergeCell ref="D30:G30"/>
    <mergeCell ref="H30:I30"/>
    <mergeCell ref="D31:G31"/>
    <mergeCell ref="H31:I31"/>
    <mergeCell ref="D26:E26"/>
    <mergeCell ref="H26:I26"/>
    <mergeCell ref="D27:E27"/>
    <mergeCell ref="H27:I27"/>
    <mergeCell ref="D28:E28"/>
    <mergeCell ref="H28:I28"/>
    <mergeCell ref="D23:E23"/>
    <mergeCell ref="H23:I23"/>
    <mergeCell ref="D24:E24"/>
    <mergeCell ref="H24:I24"/>
    <mergeCell ref="D25:E25"/>
    <mergeCell ref="H25:I25"/>
    <mergeCell ref="D20:E20"/>
    <mergeCell ref="H20:I20"/>
    <mergeCell ref="D21:E21"/>
    <mergeCell ref="H21:I21"/>
    <mergeCell ref="D22:E22"/>
    <mergeCell ref="H22:I22"/>
    <mergeCell ref="D17:E17"/>
    <mergeCell ref="H17:I17"/>
    <mergeCell ref="D18:E18"/>
    <mergeCell ref="H18:I18"/>
    <mergeCell ref="D19:E19"/>
    <mergeCell ref="H19:I19"/>
    <mergeCell ref="D14:E14"/>
    <mergeCell ref="H14:I14"/>
    <mergeCell ref="D15:E15"/>
    <mergeCell ref="H15:I15"/>
    <mergeCell ref="D16:E16"/>
    <mergeCell ref="H16:I16"/>
    <mergeCell ref="D11:E11"/>
    <mergeCell ref="H11:I11"/>
    <mergeCell ref="D12:E12"/>
    <mergeCell ref="H12:I12"/>
    <mergeCell ref="D13:E13"/>
    <mergeCell ref="H13:I13"/>
    <mergeCell ref="D8:E8"/>
    <mergeCell ref="H8:I8"/>
    <mergeCell ref="D9:E9"/>
    <mergeCell ref="H9:I9"/>
    <mergeCell ref="D10:E10"/>
    <mergeCell ref="H10:I10"/>
    <mergeCell ref="B2:I2"/>
    <mergeCell ref="B4:C4"/>
    <mergeCell ref="E4:E7"/>
    <mergeCell ref="G4:I4"/>
    <mergeCell ref="B5:C5"/>
    <mergeCell ref="B6:C6"/>
    <mergeCell ref="G6:I6"/>
    <mergeCell ref="G7:I7"/>
  </mergeCells>
  <phoneticPr fontId="1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horizontalDpi="3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autoPageBreaks="0"/>
  </sheetPr>
  <dimension ref="B1:G33"/>
  <sheetViews>
    <sheetView zoomScaleNormal="100" workbookViewId="0">
      <selection activeCell="N27" sqref="N27"/>
    </sheetView>
  </sheetViews>
  <sheetFormatPr defaultRowHeight="14"/>
  <cols>
    <col min="1" max="1" width="2" style="136" customWidth="1"/>
    <col min="2" max="2" width="11" style="136" customWidth="1"/>
    <col min="3" max="3" width="20" style="136" customWidth="1"/>
    <col min="4" max="4" width="13.6640625" style="136" customWidth="1"/>
    <col min="5" max="5" width="9.08203125" style="136" customWidth="1"/>
    <col min="6" max="6" width="13" style="136" customWidth="1"/>
    <col min="7" max="7" width="16.1640625" style="136" customWidth="1"/>
    <col min="8" max="256" width="9" style="136"/>
    <col min="257" max="257" width="2" style="136" customWidth="1"/>
    <col min="258" max="258" width="11" style="136" customWidth="1"/>
    <col min="259" max="259" width="20" style="136" customWidth="1"/>
    <col min="260" max="260" width="13.6640625" style="136" customWidth="1"/>
    <col min="261" max="261" width="9.08203125" style="136" customWidth="1"/>
    <col min="262" max="262" width="13" style="136" customWidth="1"/>
    <col min="263" max="263" width="16.1640625" style="136" customWidth="1"/>
    <col min="264" max="512" width="9" style="136"/>
    <col min="513" max="513" width="2" style="136" customWidth="1"/>
    <col min="514" max="514" width="11" style="136" customWidth="1"/>
    <col min="515" max="515" width="20" style="136" customWidth="1"/>
    <col min="516" max="516" width="13.6640625" style="136" customWidth="1"/>
    <col min="517" max="517" width="9.08203125" style="136" customWidth="1"/>
    <col min="518" max="518" width="13" style="136" customWidth="1"/>
    <col min="519" max="519" width="16.1640625" style="136" customWidth="1"/>
    <col min="520" max="768" width="9" style="136"/>
    <col min="769" max="769" width="2" style="136" customWidth="1"/>
    <col min="770" max="770" width="11" style="136" customWidth="1"/>
    <col min="771" max="771" width="20" style="136" customWidth="1"/>
    <col min="772" max="772" width="13.6640625" style="136" customWidth="1"/>
    <col min="773" max="773" width="9.08203125" style="136" customWidth="1"/>
    <col min="774" max="774" width="13" style="136" customWidth="1"/>
    <col min="775" max="775" width="16.1640625" style="136" customWidth="1"/>
    <col min="776" max="1024" width="9" style="136"/>
    <col min="1025" max="1025" width="2" style="136" customWidth="1"/>
    <col min="1026" max="1026" width="11" style="136" customWidth="1"/>
    <col min="1027" max="1027" width="20" style="136" customWidth="1"/>
    <col min="1028" max="1028" width="13.6640625" style="136" customWidth="1"/>
    <col min="1029" max="1029" width="9.08203125" style="136" customWidth="1"/>
    <col min="1030" max="1030" width="13" style="136" customWidth="1"/>
    <col min="1031" max="1031" width="16.1640625" style="136" customWidth="1"/>
    <col min="1032" max="1280" width="9" style="136"/>
    <col min="1281" max="1281" width="2" style="136" customWidth="1"/>
    <col min="1282" max="1282" width="11" style="136" customWidth="1"/>
    <col min="1283" max="1283" width="20" style="136" customWidth="1"/>
    <col min="1284" max="1284" width="13.6640625" style="136" customWidth="1"/>
    <col min="1285" max="1285" width="9.08203125" style="136" customWidth="1"/>
    <col min="1286" max="1286" width="13" style="136" customWidth="1"/>
    <col min="1287" max="1287" width="16.1640625" style="136" customWidth="1"/>
    <col min="1288" max="1536" width="9" style="136"/>
    <col min="1537" max="1537" width="2" style="136" customWidth="1"/>
    <col min="1538" max="1538" width="11" style="136" customWidth="1"/>
    <col min="1539" max="1539" width="20" style="136" customWidth="1"/>
    <col min="1540" max="1540" width="13.6640625" style="136" customWidth="1"/>
    <col min="1541" max="1541" width="9.08203125" style="136" customWidth="1"/>
    <col min="1542" max="1542" width="13" style="136" customWidth="1"/>
    <col min="1543" max="1543" width="16.1640625" style="136" customWidth="1"/>
    <col min="1544" max="1792" width="9" style="136"/>
    <col min="1793" max="1793" width="2" style="136" customWidth="1"/>
    <col min="1794" max="1794" width="11" style="136" customWidth="1"/>
    <col min="1795" max="1795" width="20" style="136" customWidth="1"/>
    <col min="1796" max="1796" width="13.6640625" style="136" customWidth="1"/>
    <col min="1797" max="1797" width="9.08203125" style="136" customWidth="1"/>
    <col min="1798" max="1798" width="13" style="136" customWidth="1"/>
    <col min="1799" max="1799" width="16.1640625" style="136" customWidth="1"/>
    <col min="1800" max="2048" width="9" style="136"/>
    <col min="2049" max="2049" width="2" style="136" customWidth="1"/>
    <col min="2050" max="2050" width="11" style="136" customWidth="1"/>
    <col min="2051" max="2051" width="20" style="136" customWidth="1"/>
    <col min="2052" max="2052" width="13.6640625" style="136" customWidth="1"/>
    <col min="2053" max="2053" width="9.08203125" style="136" customWidth="1"/>
    <col min="2054" max="2054" width="13" style="136" customWidth="1"/>
    <col min="2055" max="2055" width="16.1640625" style="136" customWidth="1"/>
    <col min="2056" max="2304" width="9" style="136"/>
    <col min="2305" max="2305" width="2" style="136" customWidth="1"/>
    <col min="2306" max="2306" width="11" style="136" customWidth="1"/>
    <col min="2307" max="2307" width="20" style="136" customWidth="1"/>
    <col min="2308" max="2308" width="13.6640625" style="136" customWidth="1"/>
    <col min="2309" max="2309" width="9.08203125" style="136" customWidth="1"/>
    <col min="2310" max="2310" width="13" style="136" customWidth="1"/>
    <col min="2311" max="2311" width="16.1640625" style="136" customWidth="1"/>
    <col min="2312" max="2560" width="9" style="136"/>
    <col min="2561" max="2561" width="2" style="136" customWidth="1"/>
    <col min="2562" max="2562" width="11" style="136" customWidth="1"/>
    <col min="2563" max="2563" width="20" style="136" customWidth="1"/>
    <col min="2564" max="2564" width="13.6640625" style="136" customWidth="1"/>
    <col min="2565" max="2565" width="9.08203125" style="136" customWidth="1"/>
    <col min="2566" max="2566" width="13" style="136" customWidth="1"/>
    <col min="2567" max="2567" width="16.1640625" style="136" customWidth="1"/>
    <col min="2568" max="2816" width="9" style="136"/>
    <col min="2817" max="2817" width="2" style="136" customWidth="1"/>
    <col min="2818" max="2818" width="11" style="136" customWidth="1"/>
    <col min="2819" max="2819" width="20" style="136" customWidth="1"/>
    <col min="2820" max="2820" width="13.6640625" style="136" customWidth="1"/>
    <col min="2821" max="2821" width="9.08203125" style="136" customWidth="1"/>
    <col min="2822" max="2822" width="13" style="136" customWidth="1"/>
    <col min="2823" max="2823" width="16.1640625" style="136" customWidth="1"/>
    <col min="2824" max="3072" width="9" style="136"/>
    <col min="3073" max="3073" width="2" style="136" customWidth="1"/>
    <col min="3074" max="3074" width="11" style="136" customWidth="1"/>
    <col min="3075" max="3075" width="20" style="136" customWidth="1"/>
    <col min="3076" max="3076" width="13.6640625" style="136" customWidth="1"/>
    <col min="3077" max="3077" width="9.08203125" style="136" customWidth="1"/>
    <col min="3078" max="3078" width="13" style="136" customWidth="1"/>
    <col min="3079" max="3079" width="16.1640625" style="136" customWidth="1"/>
    <col min="3080" max="3328" width="9" style="136"/>
    <col min="3329" max="3329" width="2" style="136" customWidth="1"/>
    <col min="3330" max="3330" width="11" style="136" customWidth="1"/>
    <col min="3331" max="3331" width="20" style="136" customWidth="1"/>
    <col min="3332" max="3332" width="13.6640625" style="136" customWidth="1"/>
    <col min="3333" max="3333" width="9.08203125" style="136" customWidth="1"/>
    <col min="3334" max="3334" width="13" style="136" customWidth="1"/>
    <col min="3335" max="3335" width="16.1640625" style="136" customWidth="1"/>
    <col min="3336" max="3584" width="9" style="136"/>
    <col min="3585" max="3585" width="2" style="136" customWidth="1"/>
    <col min="3586" max="3586" width="11" style="136" customWidth="1"/>
    <col min="3587" max="3587" width="20" style="136" customWidth="1"/>
    <col min="3588" max="3588" width="13.6640625" style="136" customWidth="1"/>
    <col min="3589" max="3589" width="9.08203125" style="136" customWidth="1"/>
    <col min="3590" max="3590" width="13" style="136" customWidth="1"/>
    <col min="3591" max="3591" width="16.1640625" style="136" customWidth="1"/>
    <col min="3592" max="3840" width="9" style="136"/>
    <col min="3841" max="3841" width="2" style="136" customWidth="1"/>
    <col min="3842" max="3842" width="11" style="136" customWidth="1"/>
    <col min="3843" max="3843" width="20" style="136" customWidth="1"/>
    <col min="3844" max="3844" width="13.6640625" style="136" customWidth="1"/>
    <col min="3845" max="3845" width="9.08203125" style="136" customWidth="1"/>
    <col min="3846" max="3846" width="13" style="136" customWidth="1"/>
    <col min="3847" max="3847" width="16.1640625" style="136" customWidth="1"/>
    <col min="3848" max="4096" width="9" style="136"/>
    <col min="4097" max="4097" width="2" style="136" customWidth="1"/>
    <col min="4098" max="4098" width="11" style="136" customWidth="1"/>
    <col min="4099" max="4099" width="20" style="136" customWidth="1"/>
    <col min="4100" max="4100" width="13.6640625" style="136" customWidth="1"/>
    <col min="4101" max="4101" width="9.08203125" style="136" customWidth="1"/>
    <col min="4102" max="4102" width="13" style="136" customWidth="1"/>
    <col min="4103" max="4103" width="16.1640625" style="136" customWidth="1"/>
    <col min="4104" max="4352" width="9" style="136"/>
    <col min="4353" max="4353" width="2" style="136" customWidth="1"/>
    <col min="4354" max="4354" width="11" style="136" customWidth="1"/>
    <col min="4355" max="4355" width="20" style="136" customWidth="1"/>
    <col min="4356" max="4356" width="13.6640625" style="136" customWidth="1"/>
    <col min="4357" max="4357" width="9.08203125" style="136" customWidth="1"/>
    <col min="4358" max="4358" width="13" style="136" customWidth="1"/>
    <col min="4359" max="4359" width="16.1640625" style="136" customWidth="1"/>
    <col min="4360" max="4608" width="9" style="136"/>
    <col min="4609" max="4609" width="2" style="136" customWidth="1"/>
    <col min="4610" max="4610" width="11" style="136" customWidth="1"/>
    <col min="4611" max="4611" width="20" style="136" customWidth="1"/>
    <col min="4612" max="4612" width="13.6640625" style="136" customWidth="1"/>
    <col min="4613" max="4613" width="9.08203125" style="136" customWidth="1"/>
    <col min="4614" max="4614" width="13" style="136" customWidth="1"/>
    <col min="4615" max="4615" width="16.1640625" style="136" customWidth="1"/>
    <col min="4616" max="4864" width="9" style="136"/>
    <col min="4865" max="4865" width="2" style="136" customWidth="1"/>
    <col min="4866" max="4866" width="11" style="136" customWidth="1"/>
    <col min="4867" max="4867" width="20" style="136" customWidth="1"/>
    <col min="4868" max="4868" width="13.6640625" style="136" customWidth="1"/>
    <col min="4869" max="4869" width="9.08203125" style="136" customWidth="1"/>
    <col min="4870" max="4870" width="13" style="136" customWidth="1"/>
    <col min="4871" max="4871" width="16.1640625" style="136" customWidth="1"/>
    <col min="4872" max="5120" width="9" style="136"/>
    <col min="5121" max="5121" width="2" style="136" customWidth="1"/>
    <col min="5122" max="5122" width="11" style="136" customWidth="1"/>
    <col min="5123" max="5123" width="20" style="136" customWidth="1"/>
    <col min="5124" max="5124" width="13.6640625" style="136" customWidth="1"/>
    <col min="5125" max="5125" width="9.08203125" style="136" customWidth="1"/>
    <col min="5126" max="5126" width="13" style="136" customWidth="1"/>
    <col min="5127" max="5127" width="16.1640625" style="136" customWidth="1"/>
    <col min="5128" max="5376" width="9" style="136"/>
    <col min="5377" max="5377" width="2" style="136" customWidth="1"/>
    <col min="5378" max="5378" width="11" style="136" customWidth="1"/>
    <col min="5379" max="5379" width="20" style="136" customWidth="1"/>
    <col min="5380" max="5380" width="13.6640625" style="136" customWidth="1"/>
    <col min="5381" max="5381" width="9.08203125" style="136" customWidth="1"/>
    <col min="5382" max="5382" width="13" style="136" customWidth="1"/>
    <col min="5383" max="5383" width="16.1640625" style="136" customWidth="1"/>
    <col min="5384" max="5632" width="9" style="136"/>
    <col min="5633" max="5633" width="2" style="136" customWidth="1"/>
    <col min="5634" max="5634" width="11" style="136" customWidth="1"/>
    <col min="5635" max="5635" width="20" style="136" customWidth="1"/>
    <col min="5636" max="5636" width="13.6640625" style="136" customWidth="1"/>
    <col min="5637" max="5637" width="9.08203125" style="136" customWidth="1"/>
    <col min="5638" max="5638" width="13" style="136" customWidth="1"/>
    <col min="5639" max="5639" width="16.1640625" style="136" customWidth="1"/>
    <col min="5640" max="5888" width="9" style="136"/>
    <col min="5889" max="5889" width="2" style="136" customWidth="1"/>
    <col min="5890" max="5890" width="11" style="136" customWidth="1"/>
    <col min="5891" max="5891" width="20" style="136" customWidth="1"/>
    <col min="5892" max="5892" width="13.6640625" style="136" customWidth="1"/>
    <col min="5893" max="5893" width="9.08203125" style="136" customWidth="1"/>
    <col min="5894" max="5894" width="13" style="136" customWidth="1"/>
    <col min="5895" max="5895" width="16.1640625" style="136" customWidth="1"/>
    <col min="5896" max="6144" width="9" style="136"/>
    <col min="6145" max="6145" width="2" style="136" customWidth="1"/>
    <col min="6146" max="6146" width="11" style="136" customWidth="1"/>
    <col min="6147" max="6147" width="20" style="136" customWidth="1"/>
    <col min="6148" max="6148" width="13.6640625" style="136" customWidth="1"/>
    <col min="6149" max="6149" width="9.08203125" style="136" customWidth="1"/>
    <col min="6150" max="6150" width="13" style="136" customWidth="1"/>
    <col min="6151" max="6151" width="16.1640625" style="136" customWidth="1"/>
    <col min="6152" max="6400" width="9" style="136"/>
    <col min="6401" max="6401" width="2" style="136" customWidth="1"/>
    <col min="6402" max="6402" width="11" style="136" customWidth="1"/>
    <col min="6403" max="6403" width="20" style="136" customWidth="1"/>
    <col min="6404" max="6404" width="13.6640625" style="136" customWidth="1"/>
    <col min="6405" max="6405" width="9.08203125" style="136" customWidth="1"/>
    <col min="6406" max="6406" width="13" style="136" customWidth="1"/>
    <col min="6407" max="6407" width="16.1640625" style="136" customWidth="1"/>
    <col min="6408" max="6656" width="9" style="136"/>
    <col min="6657" max="6657" width="2" style="136" customWidth="1"/>
    <col min="6658" max="6658" width="11" style="136" customWidth="1"/>
    <col min="6659" max="6659" width="20" style="136" customWidth="1"/>
    <col min="6660" max="6660" width="13.6640625" style="136" customWidth="1"/>
    <col min="6661" max="6661" width="9.08203125" style="136" customWidth="1"/>
    <col min="6662" max="6662" width="13" style="136" customWidth="1"/>
    <col min="6663" max="6663" width="16.1640625" style="136" customWidth="1"/>
    <col min="6664" max="6912" width="9" style="136"/>
    <col min="6913" max="6913" width="2" style="136" customWidth="1"/>
    <col min="6914" max="6914" width="11" style="136" customWidth="1"/>
    <col min="6915" max="6915" width="20" style="136" customWidth="1"/>
    <col min="6916" max="6916" width="13.6640625" style="136" customWidth="1"/>
    <col min="6917" max="6917" width="9.08203125" style="136" customWidth="1"/>
    <col min="6918" max="6918" width="13" style="136" customWidth="1"/>
    <col min="6919" max="6919" width="16.1640625" style="136" customWidth="1"/>
    <col min="6920" max="7168" width="9" style="136"/>
    <col min="7169" max="7169" width="2" style="136" customWidth="1"/>
    <col min="7170" max="7170" width="11" style="136" customWidth="1"/>
    <col min="7171" max="7171" width="20" style="136" customWidth="1"/>
    <col min="7172" max="7172" width="13.6640625" style="136" customWidth="1"/>
    <col min="7173" max="7173" width="9.08203125" style="136" customWidth="1"/>
    <col min="7174" max="7174" width="13" style="136" customWidth="1"/>
    <col min="7175" max="7175" width="16.1640625" style="136" customWidth="1"/>
    <col min="7176" max="7424" width="9" style="136"/>
    <col min="7425" max="7425" width="2" style="136" customWidth="1"/>
    <col min="7426" max="7426" width="11" style="136" customWidth="1"/>
    <col min="7427" max="7427" width="20" style="136" customWidth="1"/>
    <col min="7428" max="7428" width="13.6640625" style="136" customWidth="1"/>
    <col min="7429" max="7429" width="9.08203125" style="136" customWidth="1"/>
    <col min="7430" max="7430" width="13" style="136" customWidth="1"/>
    <col min="7431" max="7431" width="16.1640625" style="136" customWidth="1"/>
    <col min="7432" max="7680" width="9" style="136"/>
    <col min="7681" max="7681" width="2" style="136" customWidth="1"/>
    <col min="7682" max="7682" width="11" style="136" customWidth="1"/>
    <col min="7683" max="7683" width="20" style="136" customWidth="1"/>
    <col min="7684" max="7684" width="13.6640625" style="136" customWidth="1"/>
    <col min="7685" max="7685" width="9.08203125" style="136" customWidth="1"/>
    <col min="7686" max="7686" width="13" style="136" customWidth="1"/>
    <col min="7687" max="7687" width="16.1640625" style="136" customWidth="1"/>
    <col min="7688" max="7936" width="9" style="136"/>
    <col min="7937" max="7937" width="2" style="136" customWidth="1"/>
    <col min="7938" max="7938" width="11" style="136" customWidth="1"/>
    <col min="7939" max="7939" width="20" style="136" customWidth="1"/>
    <col min="7940" max="7940" width="13.6640625" style="136" customWidth="1"/>
    <col min="7941" max="7941" width="9.08203125" style="136" customWidth="1"/>
    <col min="7942" max="7942" width="13" style="136" customWidth="1"/>
    <col min="7943" max="7943" width="16.1640625" style="136" customWidth="1"/>
    <col min="7944" max="8192" width="9" style="136"/>
    <col min="8193" max="8193" width="2" style="136" customWidth="1"/>
    <col min="8194" max="8194" width="11" style="136" customWidth="1"/>
    <col min="8195" max="8195" width="20" style="136" customWidth="1"/>
    <col min="8196" max="8196" width="13.6640625" style="136" customWidth="1"/>
    <col min="8197" max="8197" width="9.08203125" style="136" customWidth="1"/>
    <col min="8198" max="8198" width="13" style="136" customWidth="1"/>
    <col min="8199" max="8199" width="16.1640625" style="136" customWidth="1"/>
    <col min="8200" max="8448" width="9" style="136"/>
    <col min="8449" max="8449" width="2" style="136" customWidth="1"/>
    <col min="8450" max="8450" width="11" style="136" customWidth="1"/>
    <col min="8451" max="8451" width="20" style="136" customWidth="1"/>
    <col min="8452" max="8452" width="13.6640625" style="136" customWidth="1"/>
    <col min="8453" max="8453" width="9.08203125" style="136" customWidth="1"/>
    <col min="8454" max="8454" width="13" style="136" customWidth="1"/>
    <col min="8455" max="8455" width="16.1640625" style="136" customWidth="1"/>
    <col min="8456" max="8704" width="9" style="136"/>
    <col min="8705" max="8705" width="2" style="136" customWidth="1"/>
    <col min="8706" max="8706" width="11" style="136" customWidth="1"/>
    <col min="8707" max="8707" width="20" style="136" customWidth="1"/>
    <col min="8708" max="8708" width="13.6640625" style="136" customWidth="1"/>
    <col min="8709" max="8709" width="9.08203125" style="136" customWidth="1"/>
    <col min="8710" max="8710" width="13" style="136" customWidth="1"/>
    <col min="8711" max="8711" width="16.1640625" style="136" customWidth="1"/>
    <col min="8712" max="8960" width="9" style="136"/>
    <col min="8961" max="8961" width="2" style="136" customWidth="1"/>
    <col min="8962" max="8962" width="11" style="136" customWidth="1"/>
    <col min="8963" max="8963" width="20" style="136" customWidth="1"/>
    <col min="8964" max="8964" width="13.6640625" style="136" customWidth="1"/>
    <col min="8965" max="8965" width="9.08203125" style="136" customWidth="1"/>
    <col min="8966" max="8966" width="13" style="136" customWidth="1"/>
    <col min="8967" max="8967" width="16.1640625" style="136" customWidth="1"/>
    <col min="8968" max="9216" width="9" style="136"/>
    <col min="9217" max="9217" width="2" style="136" customWidth="1"/>
    <col min="9218" max="9218" width="11" style="136" customWidth="1"/>
    <col min="9219" max="9219" width="20" style="136" customWidth="1"/>
    <col min="9220" max="9220" width="13.6640625" style="136" customWidth="1"/>
    <col min="9221" max="9221" width="9.08203125" style="136" customWidth="1"/>
    <col min="9222" max="9222" width="13" style="136" customWidth="1"/>
    <col min="9223" max="9223" width="16.1640625" style="136" customWidth="1"/>
    <col min="9224" max="9472" width="9" style="136"/>
    <col min="9473" max="9473" width="2" style="136" customWidth="1"/>
    <col min="9474" max="9474" width="11" style="136" customWidth="1"/>
    <col min="9475" max="9475" width="20" style="136" customWidth="1"/>
    <col min="9476" max="9476" width="13.6640625" style="136" customWidth="1"/>
    <col min="9477" max="9477" width="9.08203125" style="136" customWidth="1"/>
    <col min="9478" max="9478" width="13" style="136" customWidth="1"/>
    <col min="9479" max="9479" width="16.1640625" style="136" customWidth="1"/>
    <col min="9480" max="9728" width="9" style="136"/>
    <col min="9729" max="9729" width="2" style="136" customWidth="1"/>
    <col min="9730" max="9730" width="11" style="136" customWidth="1"/>
    <col min="9731" max="9731" width="20" style="136" customWidth="1"/>
    <col min="9732" max="9732" width="13.6640625" style="136" customWidth="1"/>
    <col min="9733" max="9733" width="9.08203125" style="136" customWidth="1"/>
    <col min="9734" max="9734" width="13" style="136" customWidth="1"/>
    <col min="9735" max="9735" width="16.1640625" style="136" customWidth="1"/>
    <col min="9736" max="9984" width="9" style="136"/>
    <col min="9985" max="9985" width="2" style="136" customWidth="1"/>
    <col min="9986" max="9986" width="11" style="136" customWidth="1"/>
    <col min="9987" max="9987" width="20" style="136" customWidth="1"/>
    <col min="9988" max="9988" width="13.6640625" style="136" customWidth="1"/>
    <col min="9989" max="9989" width="9.08203125" style="136" customWidth="1"/>
    <col min="9990" max="9990" width="13" style="136" customWidth="1"/>
    <col min="9991" max="9991" width="16.1640625" style="136" customWidth="1"/>
    <col min="9992" max="10240" width="9" style="136"/>
    <col min="10241" max="10241" width="2" style="136" customWidth="1"/>
    <col min="10242" max="10242" width="11" style="136" customWidth="1"/>
    <col min="10243" max="10243" width="20" style="136" customWidth="1"/>
    <col min="10244" max="10244" width="13.6640625" style="136" customWidth="1"/>
    <col min="10245" max="10245" width="9.08203125" style="136" customWidth="1"/>
    <col min="10246" max="10246" width="13" style="136" customWidth="1"/>
    <col min="10247" max="10247" width="16.1640625" style="136" customWidth="1"/>
    <col min="10248" max="10496" width="9" style="136"/>
    <col min="10497" max="10497" width="2" style="136" customWidth="1"/>
    <col min="10498" max="10498" width="11" style="136" customWidth="1"/>
    <col min="10499" max="10499" width="20" style="136" customWidth="1"/>
    <col min="10500" max="10500" width="13.6640625" style="136" customWidth="1"/>
    <col min="10501" max="10501" width="9.08203125" style="136" customWidth="1"/>
    <col min="10502" max="10502" width="13" style="136" customWidth="1"/>
    <col min="10503" max="10503" width="16.1640625" style="136" customWidth="1"/>
    <col min="10504" max="10752" width="9" style="136"/>
    <col min="10753" max="10753" width="2" style="136" customWidth="1"/>
    <col min="10754" max="10754" width="11" style="136" customWidth="1"/>
    <col min="10755" max="10755" width="20" style="136" customWidth="1"/>
    <col min="10756" max="10756" width="13.6640625" style="136" customWidth="1"/>
    <col min="10757" max="10757" width="9.08203125" style="136" customWidth="1"/>
    <col min="10758" max="10758" width="13" style="136" customWidth="1"/>
    <col min="10759" max="10759" width="16.1640625" style="136" customWidth="1"/>
    <col min="10760" max="11008" width="9" style="136"/>
    <col min="11009" max="11009" width="2" style="136" customWidth="1"/>
    <col min="11010" max="11010" width="11" style="136" customWidth="1"/>
    <col min="11011" max="11011" width="20" style="136" customWidth="1"/>
    <col min="11012" max="11012" width="13.6640625" style="136" customWidth="1"/>
    <col min="11013" max="11013" width="9.08203125" style="136" customWidth="1"/>
    <col min="11014" max="11014" width="13" style="136" customWidth="1"/>
    <col min="11015" max="11015" width="16.1640625" style="136" customWidth="1"/>
    <col min="11016" max="11264" width="9" style="136"/>
    <col min="11265" max="11265" width="2" style="136" customWidth="1"/>
    <col min="11266" max="11266" width="11" style="136" customWidth="1"/>
    <col min="11267" max="11267" width="20" style="136" customWidth="1"/>
    <col min="11268" max="11268" width="13.6640625" style="136" customWidth="1"/>
    <col min="11269" max="11269" width="9.08203125" style="136" customWidth="1"/>
    <col min="11270" max="11270" width="13" style="136" customWidth="1"/>
    <col min="11271" max="11271" width="16.1640625" style="136" customWidth="1"/>
    <col min="11272" max="11520" width="9" style="136"/>
    <col min="11521" max="11521" width="2" style="136" customWidth="1"/>
    <col min="11522" max="11522" width="11" style="136" customWidth="1"/>
    <col min="11523" max="11523" width="20" style="136" customWidth="1"/>
    <col min="11524" max="11524" width="13.6640625" style="136" customWidth="1"/>
    <col min="11525" max="11525" width="9.08203125" style="136" customWidth="1"/>
    <col min="11526" max="11526" width="13" style="136" customWidth="1"/>
    <col min="11527" max="11527" width="16.1640625" style="136" customWidth="1"/>
    <col min="11528" max="11776" width="9" style="136"/>
    <col min="11777" max="11777" width="2" style="136" customWidth="1"/>
    <col min="11778" max="11778" width="11" style="136" customWidth="1"/>
    <col min="11779" max="11779" width="20" style="136" customWidth="1"/>
    <col min="11780" max="11780" width="13.6640625" style="136" customWidth="1"/>
    <col min="11781" max="11781" width="9.08203125" style="136" customWidth="1"/>
    <col min="11782" max="11782" width="13" style="136" customWidth="1"/>
    <col min="11783" max="11783" width="16.1640625" style="136" customWidth="1"/>
    <col min="11784" max="12032" width="9" style="136"/>
    <col min="12033" max="12033" width="2" style="136" customWidth="1"/>
    <col min="12034" max="12034" width="11" style="136" customWidth="1"/>
    <col min="12035" max="12035" width="20" style="136" customWidth="1"/>
    <col min="12036" max="12036" width="13.6640625" style="136" customWidth="1"/>
    <col min="12037" max="12037" width="9.08203125" style="136" customWidth="1"/>
    <col min="12038" max="12038" width="13" style="136" customWidth="1"/>
    <col min="12039" max="12039" width="16.1640625" style="136" customWidth="1"/>
    <col min="12040" max="12288" width="9" style="136"/>
    <col min="12289" max="12289" width="2" style="136" customWidth="1"/>
    <col min="12290" max="12290" width="11" style="136" customWidth="1"/>
    <col min="12291" max="12291" width="20" style="136" customWidth="1"/>
    <col min="12292" max="12292" width="13.6640625" style="136" customWidth="1"/>
    <col min="12293" max="12293" width="9.08203125" style="136" customWidth="1"/>
    <col min="12294" max="12294" width="13" style="136" customWidth="1"/>
    <col min="12295" max="12295" width="16.1640625" style="136" customWidth="1"/>
    <col min="12296" max="12544" width="9" style="136"/>
    <col min="12545" max="12545" width="2" style="136" customWidth="1"/>
    <col min="12546" max="12546" width="11" style="136" customWidth="1"/>
    <col min="12547" max="12547" width="20" style="136" customWidth="1"/>
    <col min="12548" max="12548" width="13.6640625" style="136" customWidth="1"/>
    <col min="12549" max="12549" width="9.08203125" style="136" customWidth="1"/>
    <col min="12550" max="12550" width="13" style="136" customWidth="1"/>
    <col min="12551" max="12551" width="16.1640625" style="136" customWidth="1"/>
    <col min="12552" max="12800" width="9" style="136"/>
    <col min="12801" max="12801" width="2" style="136" customWidth="1"/>
    <col min="12802" max="12802" width="11" style="136" customWidth="1"/>
    <col min="12803" max="12803" width="20" style="136" customWidth="1"/>
    <col min="12804" max="12804" width="13.6640625" style="136" customWidth="1"/>
    <col min="12805" max="12805" width="9.08203125" style="136" customWidth="1"/>
    <col min="12806" max="12806" width="13" style="136" customWidth="1"/>
    <col min="12807" max="12807" width="16.1640625" style="136" customWidth="1"/>
    <col min="12808" max="13056" width="9" style="136"/>
    <col min="13057" max="13057" width="2" style="136" customWidth="1"/>
    <col min="13058" max="13058" width="11" style="136" customWidth="1"/>
    <col min="13059" max="13059" width="20" style="136" customWidth="1"/>
    <col min="13060" max="13060" width="13.6640625" style="136" customWidth="1"/>
    <col min="13061" max="13061" width="9.08203125" style="136" customWidth="1"/>
    <col min="13062" max="13062" width="13" style="136" customWidth="1"/>
    <col min="13063" max="13063" width="16.1640625" style="136" customWidth="1"/>
    <col min="13064" max="13312" width="9" style="136"/>
    <col min="13313" max="13313" width="2" style="136" customWidth="1"/>
    <col min="13314" max="13314" width="11" style="136" customWidth="1"/>
    <col min="13315" max="13315" width="20" style="136" customWidth="1"/>
    <col min="13316" max="13316" width="13.6640625" style="136" customWidth="1"/>
    <col min="13317" max="13317" width="9.08203125" style="136" customWidth="1"/>
    <col min="13318" max="13318" width="13" style="136" customWidth="1"/>
    <col min="13319" max="13319" width="16.1640625" style="136" customWidth="1"/>
    <col min="13320" max="13568" width="9" style="136"/>
    <col min="13569" max="13569" width="2" style="136" customWidth="1"/>
    <col min="13570" max="13570" width="11" style="136" customWidth="1"/>
    <col min="13571" max="13571" width="20" style="136" customWidth="1"/>
    <col min="13572" max="13572" width="13.6640625" style="136" customWidth="1"/>
    <col min="13573" max="13573" width="9.08203125" style="136" customWidth="1"/>
    <col min="13574" max="13574" width="13" style="136" customWidth="1"/>
    <col min="13575" max="13575" width="16.1640625" style="136" customWidth="1"/>
    <col min="13576" max="13824" width="9" style="136"/>
    <col min="13825" max="13825" width="2" style="136" customWidth="1"/>
    <col min="13826" max="13826" width="11" style="136" customWidth="1"/>
    <col min="13827" max="13827" width="20" style="136" customWidth="1"/>
    <col min="13828" max="13828" width="13.6640625" style="136" customWidth="1"/>
    <col min="13829" max="13829" width="9.08203125" style="136" customWidth="1"/>
    <col min="13830" max="13830" width="13" style="136" customWidth="1"/>
    <col min="13831" max="13831" width="16.1640625" style="136" customWidth="1"/>
    <col min="13832" max="14080" width="9" style="136"/>
    <col min="14081" max="14081" width="2" style="136" customWidth="1"/>
    <col min="14082" max="14082" width="11" style="136" customWidth="1"/>
    <col min="14083" max="14083" width="20" style="136" customWidth="1"/>
    <col min="14084" max="14084" width="13.6640625" style="136" customWidth="1"/>
    <col min="14085" max="14085" width="9.08203125" style="136" customWidth="1"/>
    <col min="14086" max="14086" width="13" style="136" customWidth="1"/>
    <col min="14087" max="14087" width="16.1640625" style="136" customWidth="1"/>
    <col min="14088" max="14336" width="9" style="136"/>
    <col min="14337" max="14337" width="2" style="136" customWidth="1"/>
    <col min="14338" max="14338" width="11" style="136" customWidth="1"/>
    <col min="14339" max="14339" width="20" style="136" customWidth="1"/>
    <col min="14340" max="14340" width="13.6640625" style="136" customWidth="1"/>
    <col min="14341" max="14341" width="9.08203125" style="136" customWidth="1"/>
    <col min="14342" max="14342" width="13" style="136" customWidth="1"/>
    <col min="14343" max="14343" width="16.1640625" style="136" customWidth="1"/>
    <col min="14344" max="14592" width="9" style="136"/>
    <col min="14593" max="14593" width="2" style="136" customWidth="1"/>
    <col min="14594" max="14594" width="11" style="136" customWidth="1"/>
    <col min="14595" max="14595" width="20" style="136" customWidth="1"/>
    <col min="14596" max="14596" width="13.6640625" style="136" customWidth="1"/>
    <col min="14597" max="14597" width="9.08203125" style="136" customWidth="1"/>
    <col min="14598" max="14598" width="13" style="136" customWidth="1"/>
    <col min="14599" max="14599" width="16.1640625" style="136" customWidth="1"/>
    <col min="14600" max="14848" width="9" style="136"/>
    <col min="14849" max="14849" width="2" style="136" customWidth="1"/>
    <col min="14850" max="14850" width="11" style="136" customWidth="1"/>
    <col min="14851" max="14851" width="20" style="136" customWidth="1"/>
    <col min="14852" max="14852" width="13.6640625" style="136" customWidth="1"/>
    <col min="14853" max="14853" width="9.08203125" style="136" customWidth="1"/>
    <col min="14854" max="14854" width="13" style="136" customWidth="1"/>
    <col min="14855" max="14855" width="16.1640625" style="136" customWidth="1"/>
    <col min="14856" max="15104" width="9" style="136"/>
    <col min="15105" max="15105" width="2" style="136" customWidth="1"/>
    <col min="15106" max="15106" width="11" style="136" customWidth="1"/>
    <col min="15107" max="15107" width="20" style="136" customWidth="1"/>
    <col min="15108" max="15108" width="13.6640625" style="136" customWidth="1"/>
    <col min="15109" max="15109" width="9.08203125" style="136" customWidth="1"/>
    <col min="15110" max="15110" width="13" style="136" customWidth="1"/>
    <col min="15111" max="15111" width="16.1640625" style="136" customWidth="1"/>
    <col min="15112" max="15360" width="9" style="136"/>
    <col min="15361" max="15361" width="2" style="136" customWidth="1"/>
    <col min="15362" max="15362" width="11" style="136" customWidth="1"/>
    <col min="15363" max="15363" width="20" style="136" customWidth="1"/>
    <col min="15364" max="15364" width="13.6640625" style="136" customWidth="1"/>
    <col min="15365" max="15365" width="9.08203125" style="136" customWidth="1"/>
    <col min="15366" max="15366" width="13" style="136" customWidth="1"/>
    <col min="15367" max="15367" width="16.1640625" style="136" customWidth="1"/>
    <col min="15368" max="15616" width="9" style="136"/>
    <col min="15617" max="15617" width="2" style="136" customWidth="1"/>
    <col min="15618" max="15618" width="11" style="136" customWidth="1"/>
    <col min="15619" max="15619" width="20" style="136" customWidth="1"/>
    <col min="15620" max="15620" width="13.6640625" style="136" customWidth="1"/>
    <col min="15621" max="15621" width="9.08203125" style="136" customWidth="1"/>
    <col min="15622" max="15622" width="13" style="136" customWidth="1"/>
    <col min="15623" max="15623" width="16.1640625" style="136" customWidth="1"/>
    <col min="15624" max="15872" width="9" style="136"/>
    <col min="15873" max="15873" width="2" style="136" customWidth="1"/>
    <col min="15874" max="15874" width="11" style="136" customWidth="1"/>
    <col min="15875" max="15875" width="20" style="136" customWidth="1"/>
    <col min="15876" max="15876" width="13.6640625" style="136" customWidth="1"/>
    <col min="15877" max="15877" width="9.08203125" style="136" customWidth="1"/>
    <col min="15878" max="15878" width="13" style="136" customWidth="1"/>
    <col min="15879" max="15879" width="16.1640625" style="136" customWidth="1"/>
    <col min="15880" max="16128" width="9" style="136"/>
    <col min="16129" max="16129" width="2" style="136" customWidth="1"/>
    <col min="16130" max="16130" width="11" style="136" customWidth="1"/>
    <col min="16131" max="16131" width="20" style="136" customWidth="1"/>
    <col min="16132" max="16132" width="13.6640625" style="136" customWidth="1"/>
    <col min="16133" max="16133" width="9.08203125" style="136" customWidth="1"/>
    <col min="16134" max="16134" width="13" style="136" customWidth="1"/>
    <col min="16135" max="16135" width="16.1640625" style="136" customWidth="1"/>
    <col min="16136" max="16384" width="9" style="136"/>
  </cols>
  <sheetData>
    <row r="1" spans="2:7" ht="6.75" customHeight="1"/>
    <row r="2" spans="2:7" ht="33">
      <c r="B2" s="185" t="s">
        <v>337</v>
      </c>
      <c r="C2" s="185"/>
      <c r="D2" s="185"/>
      <c r="E2" s="185"/>
      <c r="F2" s="185"/>
      <c r="G2" s="185"/>
    </row>
    <row r="3" spans="2:7" ht="20.25" customHeight="1"/>
    <row r="4" spans="2:7" ht="22.5" customHeight="1">
      <c r="B4" s="186">
        <f ca="1">TODAY()</f>
        <v>45821</v>
      </c>
      <c r="C4" s="186"/>
      <c r="E4" s="162"/>
      <c r="F4" s="192"/>
      <c r="G4" s="192"/>
    </row>
    <row r="5" spans="2:7" ht="22.5" customHeight="1">
      <c r="B5" s="192" t="s">
        <v>341</v>
      </c>
      <c r="C5" s="192"/>
      <c r="E5" s="163"/>
      <c r="F5" s="162"/>
      <c r="G5" s="162"/>
    </row>
    <row r="6" spans="2:7" ht="22.5" customHeight="1">
      <c r="B6" s="193" t="s">
        <v>345</v>
      </c>
      <c r="C6" s="193"/>
      <c r="E6" s="162"/>
      <c r="F6" s="192"/>
      <c r="G6" s="192"/>
    </row>
    <row r="7" spans="2:7" ht="22.5" customHeight="1" thickBot="1">
      <c r="B7" s="136" t="s">
        <v>348</v>
      </c>
      <c r="C7" s="141"/>
      <c r="D7" s="136" t="s">
        <v>349</v>
      </c>
      <c r="E7" s="164"/>
      <c r="F7" s="218"/>
      <c r="G7" s="218"/>
    </row>
    <row r="8" spans="2:7" ht="18" customHeight="1" thickBot="1">
      <c r="B8" s="143" t="s">
        <v>351</v>
      </c>
      <c r="C8" s="144" t="s">
        <v>352</v>
      </c>
      <c r="D8" s="144" t="s">
        <v>353</v>
      </c>
      <c r="E8" s="165" t="s">
        <v>153</v>
      </c>
      <c r="F8" s="165" t="s">
        <v>354</v>
      </c>
      <c r="G8" s="165" t="s">
        <v>355</v>
      </c>
    </row>
    <row r="9" spans="2:7" ht="18" customHeight="1" thickTop="1">
      <c r="B9" s="145">
        <v>1</v>
      </c>
      <c r="C9" s="146"/>
      <c r="D9" s="166"/>
      <c r="E9" s="147"/>
      <c r="F9" s="147"/>
      <c r="G9" s="77"/>
    </row>
    <row r="10" spans="2:7" ht="18" customHeight="1">
      <c r="B10" s="148">
        <v>2</v>
      </c>
      <c r="C10" s="149"/>
      <c r="D10" s="166"/>
      <c r="E10" s="150"/>
      <c r="F10" s="147"/>
      <c r="G10" s="77"/>
    </row>
    <row r="11" spans="2:7" ht="18" customHeight="1">
      <c r="B11" s="148">
        <v>3</v>
      </c>
      <c r="C11" s="149"/>
      <c r="D11" s="166"/>
      <c r="E11" s="151"/>
      <c r="F11" s="147"/>
      <c r="G11" s="77"/>
    </row>
    <row r="12" spans="2:7" ht="18" customHeight="1">
      <c r="B12" s="148">
        <v>4</v>
      </c>
      <c r="C12" s="149"/>
      <c r="D12" s="166"/>
      <c r="E12" s="150"/>
      <c r="F12" s="147"/>
      <c r="G12" s="77"/>
    </row>
    <row r="13" spans="2:7" ht="18" customHeight="1">
      <c r="B13" s="148">
        <v>5</v>
      </c>
      <c r="C13" s="149"/>
      <c r="D13" s="166"/>
      <c r="E13" s="150"/>
      <c r="F13" s="147"/>
      <c r="G13" s="77"/>
    </row>
    <row r="14" spans="2:7" ht="18" customHeight="1">
      <c r="B14" s="148">
        <v>6</v>
      </c>
      <c r="C14" s="149"/>
      <c r="D14" s="166"/>
      <c r="E14" s="150"/>
      <c r="F14" s="147"/>
      <c r="G14" s="77"/>
    </row>
    <row r="15" spans="2:7" ht="18" customHeight="1">
      <c r="B15" s="148">
        <v>7</v>
      </c>
      <c r="C15" s="149"/>
      <c r="D15" s="166"/>
      <c r="E15" s="150"/>
      <c r="F15" s="147"/>
      <c r="G15" s="77"/>
    </row>
    <row r="16" spans="2:7" ht="18" customHeight="1">
      <c r="B16" s="148">
        <v>8</v>
      </c>
      <c r="C16" s="149"/>
      <c r="D16" s="166"/>
      <c r="E16" s="150"/>
      <c r="F16" s="147"/>
      <c r="G16" s="77"/>
    </row>
    <row r="17" spans="2:7" ht="18" customHeight="1">
      <c r="B17" s="148">
        <v>9</v>
      </c>
      <c r="C17" s="149"/>
      <c r="D17" s="166"/>
      <c r="E17" s="150"/>
      <c r="F17" s="147"/>
      <c r="G17" s="77"/>
    </row>
    <row r="18" spans="2:7" ht="18" customHeight="1">
      <c r="B18" s="148">
        <v>10</v>
      </c>
      <c r="C18" s="149"/>
      <c r="D18" s="166"/>
      <c r="E18" s="150"/>
      <c r="F18" s="147"/>
      <c r="G18" s="77"/>
    </row>
    <row r="19" spans="2:7" ht="18" customHeight="1">
      <c r="B19" s="148">
        <v>11</v>
      </c>
      <c r="C19" s="149"/>
      <c r="D19" s="166"/>
      <c r="E19" s="150"/>
      <c r="F19" s="147"/>
      <c r="G19" s="77"/>
    </row>
    <row r="20" spans="2:7" ht="18" customHeight="1">
      <c r="B20" s="148">
        <v>12</v>
      </c>
      <c r="C20" s="149"/>
      <c r="D20" s="166"/>
      <c r="E20" s="150"/>
      <c r="F20" s="147"/>
      <c r="G20" s="77"/>
    </row>
    <row r="21" spans="2:7" ht="18" customHeight="1">
      <c r="B21" s="148">
        <v>13</v>
      </c>
      <c r="C21" s="149"/>
      <c r="D21" s="166"/>
      <c r="E21" s="150"/>
      <c r="F21" s="147"/>
      <c r="G21" s="77"/>
    </row>
    <row r="22" spans="2:7" ht="18" customHeight="1">
      <c r="B22" s="148">
        <v>14</v>
      </c>
      <c r="C22" s="149"/>
      <c r="D22" s="166"/>
      <c r="E22" s="150"/>
      <c r="F22" s="147"/>
      <c r="G22" s="77"/>
    </row>
    <row r="23" spans="2:7" ht="18" customHeight="1">
      <c r="B23" s="148">
        <v>15</v>
      </c>
      <c r="C23" s="149"/>
      <c r="D23" s="166"/>
      <c r="E23" s="150"/>
      <c r="F23" s="147"/>
      <c r="G23" s="77"/>
    </row>
    <row r="24" spans="2:7" ht="18" customHeight="1">
      <c r="B24" s="148">
        <v>16</v>
      </c>
      <c r="C24" s="149"/>
      <c r="D24" s="166"/>
      <c r="E24" s="150"/>
      <c r="F24" s="147"/>
      <c r="G24" s="77"/>
    </row>
    <row r="25" spans="2:7" ht="18" customHeight="1">
      <c r="B25" s="148">
        <v>17</v>
      </c>
      <c r="C25" s="149"/>
      <c r="D25" s="166"/>
      <c r="E25" s="150"/>
      <c r="F25" s="147"/>
      <c r="G25" s="77"/>
    </row>
    <row r="26" spans="2:7" ht="18" customHeight="1">
      <c r="B26" s="148">
        <v>18</v>
      </c>
      <c r="C26" s="149"/>
      <c r="D26" s="166"/>
      <c r="E26" s="150"/>
      <c r="F26" s="147"/>
      <c r="G26" s="78"/>
    </row>
    <row r="27" spans="2:7" ht="18" customHeight="1">
      <c r="B27" s="148">
        <v>19</v>
      </c>
      <c r="C27" s="149"/>
      <c r="D27" s="166"/>
      <c r="E27" s="150"/>
      <c r="F27" s="147"/>
      <c r="G27" s="78"/>
    </row>
    <row r="28" spans="2:7" ht="18" customHeight="1" thickBot="1">
      <c r="B28" s="152">
        <v>20</v>
      </c>
      <c r="C28" s="153"/>
      <c r="D28" s="167"/>
      <c r="E28" s="154"/>
      <c r="F28" s="154"/>
      <c r="G28" s="168"/>
    </row>
    <row r="29" spans="2:7" ht="23.25" customHeight="1" thickTop="1">
      <c r="B29" s="155" t="s">
        <v>360</v>
      </c>
      <c r="C29" s="156"/>
      <c r="D29" s="209" t="s">
        <v>361</v>
      </c>
      <c r="E29" s="209"/>
      <c r="F29" s="209"/>
      <c r="G29" s="134"/>
    </row>
    <row r="30" spans="2:7" ht="23.25" customHeight="1">
      <c r="B30" s="157"/>
      <c r="C30" s="158"/>
      <c r="D30" s="212" t="s">
        <v>362</v>
      </c>
      <c r="E30" s="212"/>
      <c r="F30" s="212"/>
      <c r="G30" s="135"/>
    </row>
    <row r="31" spans="2:7" ht="23.25" customHeight="1" thickBot="1">
      <c r="B31" s="159"/>
      <c r="C31" s="160"/>
      <c r="D31" s="215" t="s">
        <v>363</v>
      </c>
      <c r="E31" s="215"/>
      <c r="F31" s="215"/>
      <c r="G31" s="169"/>
    </row>
    <row r="32" spans="2:7" ht="16.5" customHeight="1">
      <c r="B32" s="136" t="s">
        <v>364</v>
      </c>
      <c r="F32" s="208" t="s">
        <v>343</v>
      </c>
      <c r="G32" s="208"/>
    </row>
    <row r="33" spans="2:7" ht="16.5" customHeight="1">
      <c r="B33" s="136" t="s">
        <v>365</v>
      </c>
      <c r="C33" s="161"/>
      <c r="D33" s="136" t="s">
        <v>366</v>
      </c>
      <c r="F33" s="208"/>
      <c r="G33" s="208"/>
    </row>
  </sheetData>
  <mergeCells count="11">
    <mergeCell ref="F7:G7"/>
    <mergeCell ref="D29:F29"/>
    <mergeCell ref="D30:F30"/>
    <mergeCell ref="D31:F31"/>
    <mergeCell ref="F32:G33"/>
    <mergeCell ref="B2:G2"/>
    <mergeCell ref="B4:C4"/>
    <mergeCell ref="F4:G4"/>
    <mergeCell ref="B5:C5"/>
    <mergeCell ref="B6:C6"/>
    <mergeCell ref="F6:G6"/>
  </mergeCells>
  <phoneticPr fontId="1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horizontalDpi="3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21"/>
  <sheetViews>
    <sheetView tabSelected="1" workbookViewId="0">
      <selection activeCell="K22" sqref="K22"/>
    </sheetView>
  </sheetViews>
  <sheetFormatPr defaultRowHeight="14"/>
  <cols>
    <col min="1" max="1" width="13" style="136" bestFit="1" customWidth="1"/>
    <col min="2" max="2" width="9" style="136"/>
    <col min="3" max="3" width="11.08203125" style="136" bestFit="1" customWidth="1"/>
    <col min="4" max="256" width="9" style="136"/>
    <col min="257" max="257" width="13" style="136" bestFit="1" customWidth="1"/>
    <col min="258" max="258" width="9" style="136"/>
    <col min="259" max="259" width="11.08203125" style="136" bestFit="1" customWidth="1"/>
    <col min="260" max="512" width="9" style="136"/>
    <col min="513" max="513" width="13" style="136" bestFit="1" customWidth="1"/>
    <col min="514" max="514" width="9" style="136"/>
    <col min="515" max="515" width="11.08203125" style="136" bestFit="1" customWidth="1"/>
    <col min="516" max="768" width="9" style="136"/>
    <col min="769" max="769" width="13" style="136" bestFit="1" customWidth="1"/>
    <col min="770" max="770" width="9" style="136"/>
    <col min="771" max="771" width="11.08203125" style="136" bestFit="1" customWidth="1"/>
    <col min="772" max="1024" width="9" style="136"/>
    <col min="1025" max="1025" width="13" style="136" bestFit="1" customWidth="1"/>
    <col min="1026" max="1026" width="9" style="136"/>
    <col min="1027" max="1027" width="11.08203125" style="136" bestFit="1" customWidth="1"/>
    <col min="1028" max="1280" width="9" style="136"/>
    <col min="1281" max="1281" width="13" style="136" bestFit="1" customWidth="1"/>
    <col min="1282" max="1282" width="9" style="136"/>
    <col min="1283" max="1283" width="11.08203125" style="136" bestFit="1" customWidth="1"/>
    <col min="1284" max="1536" width="9" style="136"/>
    <col min="1537" max="1537" width="13" style="136" bestFit="1" customWidth="1"/>
    <col min="1538" max="1538" width="9" style="136"/>
    <col min="1539" max="1539" width="11.08203125" style="136" bestFit="1" customWidth="1"/>
    <col min="1540" max="1792" width="9" style="136"/>
    <col min="1793" max="1793" width="13" style="136" bestFit="1" customWidth="1"/>
    <col min="1794" max="1794" width="9" style="136"/>
    <col min="1795" max="1795" width="11.08203125" style="136" bestFit="1" customWidth="1"/>
    <col min="1796" max="2048" width="9" style="136"/>
    <col min="2049" max="2049" width="13" style="136" bestFit="1" customWidth="1"/>
    <col min="2050" max="2050" width="9" style="136"/>
    <col min="2051" max="2051" width="11.08203125" style="136" bestFit="1" customWidth="1"/>
    <col min="2052" max="2304" width="9" style="136"/>
    <col min="2305" max="2305" width="13" style="136" bestFit="1" customWidth="1"/>
    <col min="2306" max="2306" width="9" style="136"/>
    <col min="2307" max="2307" width="11.08203125" style="136" bestFit="1" customWidth="1"/>
    <col min="2308" max="2560" width="9" style="136"/>
    <col min="2561" max="2561" width="13" style="136" bestFit="1" customWidth="1"/>
    <col min="2562" max="2562" width="9" style="136"/>
    <col min="2563" max="2563" width="11.08203125" style="136" bestFit="1" customWidth="1"/>
    <col min="2564" max="2816" width="9" style="136"/>
    <col min="2817" max="2817" width="13" style="136" bestFit="1" customWidth="1"/>
    <col min="2818" max="2818" width="9" style="136"/>
    <col min="2819" max="2819" width="11.08203125" style="136" bestFit="1" customWidth="1"/>
    <col min="2820" max="3072" width="9" style="136"/>
    <col min="3073" max="3073" width="13" style="136" bestFit="1" customWidth="1"/>
    <col min="3074" max="3074" width="9" style="136"/>
    <col min="3075" max="3075" width="11.08203125" style="136" bestFit="1" customWidth="1"/>
    <col min="3076" max="3328" width="9" style="136"/>
    <col min="3329" max="3329" width="13" style="136" bestFit="1" customWidth="1"/>
    <col min="3330" max="3330" width="9" style="136"/>
    <col min="3331" max="3331" width="11.08203125" style="136" bestFit="1" customWidth="1"/>
    <col min="3332" max="3584" width="9" style="136"/>
    <col min="3585" max="3585" width="13" style="136" bestFit="1" customWidth="1"/>
    <col min="3586" max="3586" width="9" style="136"/>
    <col min="3587" max="3587" width="11.08203125" style="136" bestFit="1" customWidth="1"/>
    <col min="3588" max="3840" width="9" style="136"/>
    <col min="3841" max="3841" width="13" style="136" bestFit="1" customWidth="1"/>
    <col min="3842" max="3842" width="9" style="136"/>
    <col min="3843" max="3843" width="11.08203125" style="136" bestFit="1" customWidth="1"/>
    <col min="3844" max="4096" width="9" style="136"/>
    <col min="4097" max="4097" width="13" style="136" bestFit="1" customWidth="1"/>
    <col min="4098" max="4098" width="9" style="136"/>
    <col min="4099" max="4099" width="11.08203125" style="136" bestFit="1" customWidth="1"/>
    <col min="4100" max="4352" width="9" style="136"/>
    <col min="4353" max="4353" width="13" style="136" bestFit="1" customWidth="1"/>
    <col min="4354" max="4354" width="9" style="136"/>
    <col min="4355" max="4355" width="11.08203125" style="136" bestFit="1" customWidth="1"/>
    <col min="4356" max="4608" width="9" style="136"/>
    <col min="4609" max="4609" width="13" style="136" bestFit="1" customWidth="1"/>
    <col min="4610" max="4610" width="9" style="136"/>
    <col min="4611" max="4611" width="11.08203125" style="136" bestFit="1" customWidth="1"/>
    <col min="4612" max="4864" width="9" style="136"/>
    <col min="4865" max="4865" width="13" style="136" bestFit="1" customWidth="1"/>
    <col min="4866" max="4866" width="9" style="136"/>
    <col min="4867" max="4867" width="11.08203125" style="136" bestFit="1" customWidth="1"/>
    <col min="4868" max="5120" width="9" style="136"/>
    <col min="5121" max="5121" width="13" style="136" bestFit="1" customWidth="1"/>
    <col min="5122" max="5122" width="9" style="136"/>
    <col min="5123" max="5123" width="11.08203125" style="136" bestFit="1" customWidth="1"/>
    <col min="5124" max="5376" width="9" style="136"/>
    <col min="5377" max="5377" width="13" style="136" bestFit="1" customWidth="1"/>
    <col min="5378" max="5378" width="9" style="136"/>
    <col min="5379" max="5379" width="11.08203125" style="136" bestFit="1" customWidth="1"/>
    <col min="5380" max="5632" width="9" style="136"/>
    <col min="5633" max="5633" width="13" style="136" bestFit="1" customWidth="1"/>
    <col min="5634" max="5634" width="9" style="136"/>
    <col min="5635" max="5635" width="11.08203125" style="136" bestFit="1" customWidth="1"/>
    <col min="5636" max="5888" width="9" style="136"/>
    <col min="5889" max="5889" width="13" style="136" bestFit="1" customWidth="1"/>
    <col min="5890" max="5890" width="9" style="136"/>
    <col min="5891" max="5891" width="11.08203125" style="136" bestFit="1" customWidth="1"/>
    <col min="5892" max="6144" width="9" style="136"/>
    <col min="6145" max="6145" width="13" style="136" bestFit="1" customWidth="1"/>
    <col min="6146" max="6146" width="9" style="136"/>
    <col min="6147" max="6147" width="11.08203125" style="136" bestFit="1" customWidth="1"/>
    <col min="6148" max="6400" width="9" style="136"/>
    <col min="6401" max="6401" width="13" style="136" bestFit="1" customWidth="1"/>
    <col min="6402" max="6402" width="9" style="136"/>
    <col min="6403" max="6403" width="11.08203125" style="136" bestFit="1" customWidth="1"/>
    <col min="6404" max="6656" width="9" style="136"/>
    <col min="6657" max="6657" width="13" style="136" bestFit="1" customWidth="1"/>
    <col min="6658" max="6658" width="9" style="136"/>
    <col min="6659" max="6659" width="11.08203125" style="136" bestFit="1" customWidth="1"/>
    <col min="6660" max="6912" width="9" style="136"/>
    <col min="6913" max="6913" width="13" style="136" bestFit="1" customWidth="1"/>
    <col min="6914" max="6914" width="9" style="136"/>
    <col min="6915" max="6915" width="11.08203125" style="136" bestFit="1" customWidth="1"/>
    <col min="6916" max="7168" width="9" style="136"/>
    <col min="7169" max="7169" width="13" style="136" bestFit="1" customWidth="1"/>
    <col min="7170" max="7170" width="9" style="136"/>
    <col min="7171" max="7171" width="11.08203125" style="136" bestFit="1" customWidth="1"/>
    <col min="7172" max="7424" width="9" style="136"/>
    <col min="7425" max="7425" width="13" style="136" bestFit="1" customWidth="1"/>
    <col min="7426" max="7426" width="9" style="136"/>
    <col min="7427" max="7427" width="11.08203125" style="136" bestFit="1" customWidth="1"/>
    <col min="7428" max="7680" width="9" style="136"/>
    <col min="7681" max="7681" width="13" style="136" bestFit="1" customWidth="1"/>
    <col min="7682" max="7682" width="9" style="136"/>
    <col min="7683" max="7683" width="11.08203125" style="136" bestFit="1" customWidth="1"/>
    <col min="7684" max="7936" width="9" style="136"/>
    <col min="7937" max="7937" width="13" style="136" bestFit="1" customWidth="1"/>
    <col min="7938" max="7938" width="9" style="136"/>
    <col min="7939" max="7939" width="11.08203125" style="136" bestFit="1" customWidth="1"/>
    <col min="7940" max="8192" width="9" style="136"/>
    <col min="8193" max="8193" width="13" style="136" bestFit="1" customWidth="1"/>
    <col min="8194" max="8194" width="9" style="136"/>
    <col min="8195" max="8195" width="11.08203125" style="136" bestFit="1" customWidth="1"/>
    <col min="8196" max="8448" width="9" style="136"/>
    <col min="8449" max="8449" width="13" style="136" bestFit="1" customWidth="1"/>
    <col min="8450" max="8450" width="9" style="136"/>
    <col min="8451" max="8451" width="11.08203125" style="136" bestFit="1" customWidth="1"/>
    <col min="8452" max="8704" width="9" style="136"/>
    <col min="8705" max="8705" width="13" style="136" bestFit="1" customWidth="1"/>
    <col min="8706" max="8706" width="9" style="136"/>
    <col min="8707" max="8707" width="11.08203125" style="136" bestFit="1" customWidth="1"/>
    <col min="8708" max="8960" width="9" style="136"/>
    <col min="8961" max="8961" width="13" style="136" bestFit="1" customWidth="1"/>
    <col min="8962" max="8962" width="9" style="136"/>
    <col min="8963" max="8963" width="11.08203125" style="136" bestFit="1" customWidth="1"/>
    <col min="8964" max="9216" width="9" style="136"/>
    <col min="9217" max="9217" width="13" style="136" bestFit="1" customWidth="1"/>
    <col min="9218" max="9218" width="9" style="136"/>
    <col min="9219" max="9219" width="11.08203125" style="136" bestFit="1" customWidth="1"/>
    <col min="9220" max="9472" width="9" style="136"/>
    <col min="9473" max="9473" width="13" style="136" bestFit="1" customWidth="1"/>
    <col min="9474" max="9474" width="9" style="136"/>
    <col min="9475" max="9475" width="11.08203125" style="136" bestFit="1" customWidth="1"/>
    <col min="9476" max="9728" width="9" style="136"/>
    <col min="9729" max="9729" width="13" style="136" bestFit="1" customWidth="1"/>
    <col min="9730" max="9730" width="9" style="136"/>
    <col min="9731" max="9731" width="11.08203125" style="136" bestFit="1" customWidth="1"/>
    <col min="9732" max="9984" width="9" style="136"/>
    <col min="9985" max="9985" width="13" style="136" bestFit="1" customWidth="1"/>
    <col min="9986" max="9986" width="9" style="136"/>
    <col min="9987" max="9987" width="11.08203125" style="136" bestFit="1" customWidth="1"/>
    <col min="9988" max="10240" width="9" style="136"/>
    <col min="10241" max="10241" width="13" style="136" bestFit="1" customWidth="1"/>
    <col min="10242" max="10242" width="9" style="136"/>
    <col min="10243" max="10243" width="11.08203125" style="136" bestFit="1" customWidth="1"/>
    <col min="10244" max="10496" width="9" style="136"/>
    <col min="10497" max="10497" width="13" style="136" bestFit="1" customWidth="1"/>
    <col min="10498" max="10498" width="9" style="136"/>
    <col min="10499" max="10499" width="11.08203125" style="136" bestFit="1" customWidth="1"/>
    <col min="10500" max="10752" width="9" style="136"/>
    <col min="10753" max="10753" width="13" style="136" bestFit="1" customWidth="1"/>
    <col min="10754" max="10754" width="9" style="136"/>
    <col min="10755" max="10755" width="11.08203125" style="136" bestFit="1" customWidth="1"/>
    <col min="10756" max="11008" width="9" style="136"/>
    <col min="11009" max="11009" width="13" style="136" bestFit="1" customWidth="1"/>
    <col min="11010" max="11010" width="9" style="136"/>
    <col min="11011" max="11011" width="11.08203125" style="136" bestFit="1" customWidth="1"/>
    <col min="11012" max="11264" width="9" style="136"/>
    <col min="11265" max="11265" width="13" style="136" bestFit="1" customWidth="1"/>
    <col min="11266" max="11266" width="9" style="136"/>
    <col min="11267" max="11267" width="11.08203125" style="136" bestFit="1" customWidth="1"/>
    <col min="11268" max="11520" width="9" style="136"/>
    <col min="11521" max="11521" width="13" style="136" bestFit="1" customWidth="1"/>
    <col min="11522" max="11522" width="9" style="136"/>
    <col min="11523" max="11523" width="11.08203125" style="136" bestFit="1" customWidth="1"/>
    <col min="11524" max="11776" width="9" style="136"/>
    <col min="11777" max="11777" width="13" style="136" bestFit="1" customWidth="1"/>
    <col min="11778" max="11778" width="9" style="136"/>
    <col min="11779" max="11779" width="11.08203125" style="136" bestFit="1" customWidth="1"/>
    <col min="11780" max="12032" width="9" style="136"/>
    <col min="12033" max="12033" width="13" style="136" bestFit="1" customWidth="1"/>
    <col min="12034" max="12034" width="9" style="136"/>
    <col min="12035" max="12035" width="11.08203125" style="136" bestFit="1" customWidth="1"/>
    <col min="12036" max="12288" width="9" style="136"/>
    <col min="12289" max="12289" width="13" style="136" bestFit="1" customWidth="1"/>
    <col min="12290" max="12290" width="9" style="136"/>
    <col min="12291" max="12291" width="11.08203125" style="136" bestFit="1" customWidth="1"/>
    <col min="12292" max="12544" width="9" style="136"/>
    <col min="12545" max="12545" width="13" style="136" bestFit="1" customWidth="1"/>
    <col min="12546" max="12546" width="9" style="136"/>
    <col min="12547" max="12547" width="11.08203125" style="136" bestFit="1" customWidth="1"/>
    <col min="12548" max="12800" width="9" style="136"/>
    <col min="12801" max="12801" width="13" style="136" bestFit="1" customWidth="1"/>
    <col min="12802" max="12802" width="9" style="136"/>
    <col min="12803" max="12803" width="11.08203125" style="136" bestFit="1" customWidth="1"/>
    <col min="12804" max="13056" width="9" style="136"/>
    <col min="13057" max="13057" width="13" style="136" bestFit="1" customWidth="1"/>
    <col min="13058" max="13058" width="9" style="136"/>
    <col min="13059" max="13059" width="11.08203125" style="136" bestFit="1" customWidth="1"/>
    <col min="13060" max="13312" width="9" style="136"/>
    <col min="13313" max="13313" width="13" style="136" bestFit="1" customWidth="1"/>
    <col min="13314" max="13314" width="9" style="136"/>
    <col min="13315" max="13315" width="11.08203125" style="136" bestFit="1" customWidth="1"/>
    <col min="13316" max="13568" width="9" style="136"/>
    <col min="13569" max="13569" width="13" style="136" bestFit="1" customWidth="1"/>
    <col min="13570" max="13570" width="9" style="136"/>
    <col min="13571" max="13571" width="11.08203125" style="136" bestFit="1" customWidth="1"/>
    <col min="13572" max="13824" width="9" style="136"/>
    <col min="13825" max="13825" width="13" style="136" bestFit="1" customWidth="1"/>
    <col min="13826" max="13826" width="9" style="136"/>
    <col min="13827" max="13827" width="11.08203125" style="136" bestFit="1" customWidth="1"/>
    <col min="13828" max="14080" width="9" style="136"/>
    <col min="14081" max="14081" width="13" style="136" bestFit="1" customWidth="1"/>
    <col min="14082" max="14082" width="9" style="136"/>
    <col min="14083" max="14083" width="11.08203125" style="136" bestFit="1" customWidth="1"/>
    <col min="14084" max="14336" width="9" style="136"/>
    <col min="14337" max="14337" width="13" style="136" bestFit="1" customWidth="1"/>
    <col min="14338" max="14338" width="9" style="136"/>
    <col min="14339" max="14339" width="11.08203125" style="136" bestFit="1" customWidth="1"/>
    <col min="14340" max="14592" width="9" style="136"/>
    <col min="14593" max="14593" width="13" style="136" bestFit="1" customWidth="1"/>
    <col min="14594" max="14594" width="9" style="136"/>
    <col min="14595" max="14595" width="11.08203125" style="136" bestFit="1" customWidth="1"/>
    <col min="14596" max="14848" width="9" style="136"/>
    <col min="14849" max="14849" width="13" style="136" bestFit="1" customWidth="1"/>
    <col min="14850" max="14850" width="9" style="136"/>
    <col min="14851" max="14851" width="11.08203125" style="136" bestFit="1" customWidth="1"/>
    <col min="14852" max="15104" width="9" style="136"/>
    <col min="15105" max="15105" width="13" style="136" bestFit="1" customWidth="1"/>
    <col min="15106" max="15106" width="9" style="136"/>
    <col min="15107" max="15107" width="11.08203125" style="136" bestFit="1" customWidth="1"/>
    <col min="15108" max="15360" width="9" style="136"/>
    <col min="15361" max="15361" width="13" style="136" bestFit="1" customWidth="1"/>
    <col min="15362" max="15362" width="9" style="136"/>
    <col min="15363" max="15363" width="11.08203125" style="136" bestFit="1" customWidth="1"/>
    <col min="15364" max="15616" width="9" style="136"/>
    <col min="15617" max="15617" width="13" style="136" bestFit="1" customWidth="1"/>
    <col min="15618" max="15618" width="9" style="136"/>
    <col min="15619" max="15619" width="11.08203125" style="136" bestFit="1" customWidth="1"/>
    <col min="15620" max="15872" width="9" style="136"/>
    <col min="15873" max="15873" width="13" style="136" bestFit="1" customWidth="1"/>
    <col min="15874" max="15874" width="9" style="136"/>
    <col min="15875" max="15875" width="11.08203125" style="136" bestFit="1" customWidth="1"/>
    <col min="15876" max="16128" width="9" style="136"/>
    <col min="16129" max="16129" width="13" style="136" bestFit="1" customWidth="1"/>
    <col min="16130" max="16130" width="9" style="136"/>
    <col min="16131" max="16131" width="11.08203125" style="136" bestFit="1" customWidth="1"/>
    <col min="16132" max="16384" width="9" style="136"/>
  </cols>
  <sheetData>
    <row r="1" spans="1:3">
      <c r="A1" s="136" t="s">
        <v>367</v>
      </c>
      <c r="B1" s="136" t="s">
        <v>368</v>
      </c>
      <c r="C1" s="136" t="s">
        <v>126</v>
      </c>
    </row>
    <row r="2" spans="1:3">
      <c r="A2" s="136" t="s">
        <v>369</v>
      </c>
      <c r="B2" s="136" t="s">
        <v>370</v>
      </c>
      <c r="C2" s="170">
        <v>120000</v>
      </c>
    </row>
    <row r="3" spans="1:3">
      <c r="A3" s="136" t="s">
        <v>371</v>
      </c>
      <c r="B3" s="136" t="s">
        <v>372</v>
      </c>
      <c r="C3" s="170">
        <v>150000</v>
      </c>
    </row>
    <row r="4" spans="1:3">
      <c r="A4" s="136" t="s">
        <v>373</v>
      </c>
      <c r="B4" s="136" t="s">
        <v>370</v>
      </c>
      <c r="C4" s="170">
        <v>200000</v>
      </c>
    </row>
    <row r="5" spans="1:3">
      <c r="A5" s="136" t="s">
        <v>374</v>
      </c>
      <c r="B5" s="136" t="s">
        <v>140</v>
      </c>
      <c r="C5" s="170">
        <v>5000</v>
      </c>
    </row>
    <row r="6" spans="1:3">
      <c r="A6" s="136" t="s">
        <v>375</v>
      </c>
      <c r="B6" s="136" t="s">
        <v>140</v>
      </c>
      <c r="C6" s="170">
        <v>3000</v>
      </c>
    </row>
    <row r="7" spans="1:3">
      <c r="A7" s="136" t="s">
        <v>376</v>
      </c>
      <c r="B7" s="136" t="s">
        <v>140</v>
      </c>
      <c r="C7" s="170">
        <v>70000</v>
      </c>
    </row>
    <row r="8" spans="1:3">
      <c r="A8" s="136" t="s">
        <v>377</v>
      </c>
      <c r="B8" s="136" t="s">
        <v>372</v>
      </c>
      <c r="C8" s="170">
        <v>140000</v>
      </c>
    </row>
    <row r="9" spans="1:3">
      <c r="A9" s="136" t="s">
        <v>378</v>
      </c>
      <c r="B9" s="136" t="s">
        <v>140</v>
      </c>
      <c r="C9" s="170">
        <v>7000</v>
      </c>
    </row>
    <row r="10" spans="1:3">
      <c r="A10" s="136" t="s">
        <v>379</v>
      </c>
      <c r="B10" s="136" t="s">
        <v>372</v>
      </c>
      <c r="C10" s="170">
        <v>60000</v>
      </c>
    </row>
    <row r="11" spans="1:3">
      <c r="A11" s="136" t="s">
        <v>380</v>
      </c>
      <c r="B11" s="136" t="s">
        <v>372</v>
      </c>
      <c r="C11" s="170">
        <v>35000</v>
      </c>
    </row>
    <row r="12" spans="1:3">
      <c r="A12" s="136" t="s">
        <v>381</v>
      </c>
      <c r="B12" s="136" t="s">
        <v>382</v>
      </c>
      <c r="C12" s="170">
        <v>25000</v>
      </c>
    </row>
    <row r="13" spans="1:3">
      <c r="A13" s="136" t="s">
        <v>383</v>
      </c>
      <c r="B13" s="136" t="s">
        <v>382</v>
      </c>
      <c r="C13" s="170">
        <v>70000</v>
      </c>
    </row>
    <row r="14" spans="1:3">
      <c r="A14" s="136" t="s">
        <v>384</v>
      </c>
      <c r="B14" s="136" t="s">
        <v>370</v>
      </c>
      <c r="C14" s="170">
        <v>30000</v>
      </c>
    </row>
    <row r="15" spans="1:3">
      <c r="A15" s="136" t="s">
        <v>385</v>
      </c>
      <c r="B15" s="136" t="s">
        <v>370</v>
      </c>
      <c r="C15" s="170">
        <v>16000</v>
      </c>
    </row>
    <row r="16" spans="1:3">
      <c r="A16" s="136" t="s">
        <v>386</v>
      </c>
      <c r="B16" s="136" t="s">
        <v>140</v>
      </c>
      <c r="C16" s="170">
        <v>23000</v>
      </c>
    </row>
    <row r="17" spans="1:3">
      <c r="A17" s="136" t="s">
        <v>387</v>
      </c>
      <c r="B17" s="136" t="s">
        <v>140</v>
      </c>
      <c r="C17" s="170">
        <v>100000</v>
      </c>
    </row>
    <row r="18" spans="1:3">
      <c r="A18" s="136" t="s">
        <v>388</v>
      </c>
      <c r="B18" s="136" t="s">
        <v>140</v>
      </c>
      <c r="C18" s="170">
        <v>135000</v>
      </c>
    </row>
    <row r="19" spans="1:3">
      <c r="A19" s="136" t="s">
        <v>389</v>
      </c>
      <c r="B19" s="136" t="s">
        <v>370</v>
      </c>
      <c r="C19" s="170">
        <v>49000</v>
      </c>
    </row>
    <row r="20" spans="1:3">
      <c r="A20" s="136" t="s">
        <v>390</v>
      </c>
      <c r="B20" s="136" t="s">
        <v>370</v>
      </c>
      <c r="C20" s="170">
        <v>55000</v>
      </c>
    </row>
    <row r="21" spans="1:3">
      <c r="A21" s="136" t="s">
        <v>391</v>
      </c>
      <c r="B21" s="136" t="s">
        <v>370</v>
      </c>
      <c r="C21" s="170">
        <v>85000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2</vt:i4>
      </vt:variant>
    </vt:vector>
  </HeadingPairs>
  <TitlesOfParts>
    <vt:vector size="11" baseType="lpstr">
      <vt:lpstr>엑셀데이터</vt:lpstr>
      <vt:lpstr>사용자지정서식1</vt:lpstr>
      <vt:lpstr>특수문자입력법</vt:lpstr>
      <vt:lpstr>표시형식</vt:lpstr>
      <vt:lpstr>시나리오</vt:lpstr>
      <vt:lpstr>미리보기</vt:lpstr>
      <vt:lpstr>견적서예시</vt:lpstr>
      <vt:lpstr>견적서</vt:lpstr>
      <vt:lpstr>제품목록</vt:lpstr>
      <vt:lpstr>견적서!Print_Area</vt:lpstr>
      <vt:lpstr>견적서예시!Print_Area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홍 민우</cp:lastModifiedBy>
  <cp:lastPrinted>2011-12-08T12:16:26Z</cp:lastPrinted>
  <dcterms:created xsi:type="dcterms:W3CDTF">2009-01-18T17:52:42Z</dcterms:created>
  <dcterms:modified xsi:type="dcterms:W3CDTF">2025-06-13T04:35:42Z</dcterms:modified>
</cp:coreProperties>
</file>